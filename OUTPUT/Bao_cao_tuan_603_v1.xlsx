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940" windowHeight="9540" tabRatio="600" firstSheet="0" activeTab="0" autoFilterDateGrouping="1"/>
  </bookViews>
  <sheets>
    <sheet xmlns:r="http://schemas.openxmlformats.org/officeDocument/2006/relationships" name="Báo cáo Quý 3 (theo 603)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Times New Roman"/>
      <b val="1"/>
      <color rgb="FF000000"/>
      <sz val="12"/>
    </font>
    <font>
      <name val="Times New Roman"/>
      <b val="1"/>
      <color theme="1"/>
      <sz val="12"/>
    </font>
    <font>
      <name val="Times New Roman"/>
      <color rgb="FF000000"/>
      <sz val="12"/>
    </font>
    <font>
      <name val="Times New Roman"/>
      <b val="1"/>
      <color rgb="FFFF0000"/>
      <sz val="12"/>
    </font>
    <font>
      <name val="Times New Roman"/>
      <color theme="1"/>
      <sz val="12"/>
    </font>
    <font>
      <name val="Arial"/>
      <color theme="1"/>
      <sz val="10"/>
      <scheme val="minor"/>
    </font>
    <font>
      <name val="&quot;Times New Roman&quot;"/>
      <color rgb="FF000000"/>
      <sz val="12"/>
    </font>
    <font>
      <name val="Times New Roman"/>
      <b val="1"/>
      <sz val="12"/>
    </font>
    <font>
      <name val="Times New Roman"/>
      <sz val="12"/>
    </font>
    <font>
      <name val="Times New Roman"/>
      <i val="1"/>
      <sz val="12"/>
    </font>
  </fonts>
  <fills count="12">
    <fill>
      <patternFill/>
    </fill>
    <fill>
      <patternFill patternType="gray125"/>
    </fill>
    <fill>
      <patternFill patternType="solid">
        <fgColor theme="0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B0F0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D5A6BD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C000"/>
      </patternFill>
    </fill>
    <fill>
      <patternFill patternType="solid">
        <fgColor rgb="00EBF1F5"/>
      </patternFill>
    </fill>
    <fill>
      <patternFill patternType="solid">
        <fgColor rgb="00F2F2F2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double">
        <color rgb="00000000"/>
      </bottom>
    </border>
  </borders>
  <cellStyleXfs count="1">
    <xf numFmtId="0" fontId="0" fillId="0" borderId="3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1" fillId="2" borderId="1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3" borderId="1" pivotButton="0" quotePrefix="0" xfId="0"/>
    <xf numFmtId="0" fontId="4" fillId="3" borderId="0" pivotButton="0" quotePrefix="0" xfId="0"/>
    <xf numFmtId="0" fontId="5" fillId="4" borderId="1" pivotButton="0" quotePrefix="0" xfId="0"/>
    <xf numFmtId="0" fontId="3" fillId="4" borderId="1" pivotButton="0" quotePrefix="0" xfId="0"/>
    <xf numFmtId="0" fontId="6" fillId="3" borderId="1" pivotButton="0" quotePrefix="0" xfId="0"/>
    <xf numFmtId="0" fontId="3" fillId="4" borderId="2" pivotButton="0" quotePrefix="0" xfId="0"/>
    <xf numFmtId="0" fontId="3" fillId="4" borderId="3" pivotButton="0" quotePrefix="0" xfId="0"/>
    <xf numFmtId="0" fontId="5" fillId="5" borderId="1" pivotButton="0" quotePrefix="0" xfId="0"/>
    <xf numFmtId="0" fontId="3" fillId="3" borderId="1" pivotButton="0" quotePrefix="0" xfId="0"/>
    <xf numFmtId="0" fontId="3" fillId="5" borderId="1" pivotButton="0" quotePrefix="0" xfId="0"/>
    <xf numFmtId="0" fontId="6" fillId="3" borderId="0" pivotButton="0" quotePrefix="0" xfId="0"/>
    <xf numFmtId="0" fontId="3" fillId="6" borderId="1" pivotButton="0" quotePrefix="0" xfId="0"/>
    <xf numFmtId="0" fontId="3" fillId="3" borderId="1" pivotButton="0" quotePrefix="0" xfId="0"/>
    <xf numFmtId="0" fontId="5" fillId="3" borderId="1" pivotButton="0" quotePrefix="0" xfId="0"/>
    <xf numFmtId="0" fontId="5" fillId="7" borderId="1" pivotButton="0" quotePrefix="0" xfId="0"/>
    <xf numFmtId="0" fontId="3" fillId="7" borderId="1" pivotButton="0" quotePrefix="0" xfId="0"/>
    <xf numFmtId="0" fontId="5" fillId="7" borderId="1" pivotButton="0" quotePrefix="0" xfId="0"/>
    <xf numFmtId="0" fontId="3" fillId="7" borderId="1" pivotButton="0" quotePrefix="0" xfId="0"/>
    <xf numFmtId="0" fontId="3" fillId="7" borderId="2" pivotButton="0" quotePrefix="0" xfId="0"/>
    <xf numFmtId="0" fontId="3" fillId="7" borderId="3" pivotButton="0" quotePrefix="0" xfId="0"/>
    <xf numFmtId="0" fontId="5" fillId="3" borderId="0" pivotButton="0" quotePrefix="0" xfId="0"/>
    <xf numFmtId="0" fontId="1" fillId="3" borderId="1" pivotButton="0" quotePrefix="0" xfId="0"/>
    <xf numFmtId="0" fontId="5" fillId="8" borderId="1" pivotButton="0" quotePrefix="0" xfId="0"/>
    <xf numFmtId="0" fontId="5" fillId="8" borderId="1" pivotButton="0" quotePrefix="0" xfId="0"/>
    <xf numFmtId="0" fontId="3" fillId="8" borderId="1" pivotButton="0" quotePrefix="0" xfId="0"/>
    <xf numFmtId="0" fontId="2" fillId="3" borderId="1" pivotButton="0" quotePrefix="0" xfId="0"/>
    <xf numFmtId="0" fontId="5" fillId="9" borderId="1" pivotButton="0" quotePrefix="0" xfId="0"/>
    <xf numFmtId="0" fontId="5" fillId="4" borderId="1" pivotButton="0" quotePrefix="0" xfId="0"/>
    <xf numFmtId="0" fontId="5" fillId="4" borderId="2" pivotButton="0" quotePrefix="0" xfId="0"/>
    <xf numFmtId="0" fontId="5" fillId="4" borderId="3" pivotButton="0" quotePrefix="0" xfId="0"/>
    <xf numFmtId="0" fontId="7" fillId="3" borderId="0" applyAlignment="1" pivotButton="0" quotePrefix="0" xfId="0">
      <alignment horizontal="right"/>
    </xf>
    <xf numFmtId="0" fontId="5" fillId="9" borderId="1" pivotButton="0" quotePrefix="0" xfId="0"/>
    <xf numFmtId="0" fontId="5" fillId="9" borderId="1" applyAlignment="1" pivotButton="0" quotePrefix="0" xfId="0">
      <alignment horizontal="left"/>
    </xf>
    <xf numFmtId="0" fontId="3" fillId="5" borderId="5" pivotButton="0" quotePrefix="0" xfId="0"/>
    <xf numFmtId="0" fontId="6" fillId="3" borderId="6" pivotButton="0" quotePrefix="0" xfId="0"/>
    <xf numFmtId="0" fontId="6" fillId="3" borderId="7" pivotButton="0" quotePrefix="0" xfId="0"/>
    <xf numFmtId="0" fontId="0" fillId="3" borderId="4" pivotButton="0" quotePrefix="0" xfId="0"/>
    <xf numFmtId="0" fontId="8" fillId="2" borderId="8" applyAlignment="1" pivotButton="0" quotePrefix="0" xfId="0">
      <alignment horizontal="center" vertical="center"/>
    </xf>
    <xf numFmtId="0" fontId="8" fillId="10" borderId="8" applyAlignment="1" pivotButton="0" quotePrefix="0" xfId="0">
      <alignment horizontal="left" vertical="center"/>
    </xf>
    <xf numFmtId="0" fontId="8" fillId="10" borderId="8" applyAlignment="1" pivotButton="0" quotePrefix="0" xfId="0">
      <alignment horizontal="right" vertical="center"/>
    </xf>
    <xf numFmtId="0" fontId="8" fillId="4" borderId="8" applyAlignment="1" pivotButton="0" quotePrefix="0" xfId="0">
      <alignment horizontal="left" vertical="center"/>
    </xf>
    <xf numFmtId="3" fontId="8" fillId="4" borderId="8" applyAlignment="1" pivotButton="0" quotePrefix="0" xfId="0">
      <alignment horizontal="right" vertical="center"/>
    </xf>
    <xf numFmtId="3" fontId="8" fillId="3" borderId="8" applyAlignment="1" pivotButton="0" quotePrefix="0" xfId="0">
      <alignment horizontal="right" vertical="center"/>
    </xf>
    <xf numFmtId="0" fontId="9" fillId="5" borderId="8" applyAlignment="1" pivotButton="0" quotePrefix="0" xfId="0">
      <alignment horizontal="left" vertical="center"/>
    </xf>
    <xf numFmtId="3" fontId="9" fillId="3" borderId="8" applyAlignment="1" pivotButton="0" quotePrefix="0" xfId="0">
      <alignment horizontal="right" vertical="center"/>
    </xf>
    <xf numFmtId="3" fontId="9" fillId="5" borderId="8" applyAlignment="1" pivotButton="0" quotePrefix="0" xfId="0">
      <alignment horizontal="right" vertical="center"/>
    </xf>
    <xf numFmtId="3" fontId="9" fillId="6" borderId="8" applyAlignment="1" pivotButton="0" quotePrefix="0" xfId="0">
      <alignment horizontal="right" vertical="center"/>
    </xf>
    <xf numFmtId="0" fontId="9" fillId="7" borderId="8" applyAlignment="1" pivotButton="0" quotePrefix="0" xfId="0">
      <alignment horizontal="left" vertical="center"/>
    </xf>
    <xf numFmtId="3" fontId="9" fillId="7" borderId="8" applyAlignment="1" pivotButton="0" quotePrefix="0" xfId="0">
      <alignment horizontal="right" vertical="center"/>
    </xf>
    <xf numFmtId="0" fontId="9" fillId="8" borderId="8" applyAlignment="1" pivotButton="0" quotePrefix="0" xfId="0">
      <alignment horizontal="left" vertical="center"/>
    </xf>
    <xf numFmtId="3" fontId="9" fillId="8" borderId="8" applyAlignment="1" pivotButton="0" quotePrefix="0" xfId="0">
      <alignment horizontal="right" vertical="center"/>
    </xf>
    <xf numFmtId="0" fontId="10" fillId="8" borderId="8" applyAlignment="1" pivotButton="0" quotePrefix="0" xfId="0">
      <alignment horizontal="left" vertical="center"/>
    </xf>
    <xf numFmtId="0" fontId="10" fillId="3" borderId="8" applyAlignment="1" pivotButton="0" quotePrefix="0" xfId="0">
      <alignment horizontal="right" vertical="center"/>
    </xf>
    <xf numFmtId="0" fontId="10" fillId="8" borderId="8" applyAlignment="1" pivotButton="0" quotePrefix="0" xfId="0">
      <alignment horizontal="right" vertical="center"/>
    </xf>
    <xf numFmtId="3" fontId="10" fillId="8" borderId="8" applyAlignment="1" pivotButton="0" quotePrefix="0" xfId="0">
      <alignment horizontal="right" vertical="center"/>
    </xf>
    <xf numFmtId="0" fontId="8" fillId="9" borderId="8" applyAlignment="1" pivotButton="0" quotePrefix="0" xfId="0">
      <alignment horizontal="left" vertical="center"/>
    </xf>
    <xf numFmtId="0" fontId="9" fillId="9" borderId="8" applyAlignment="1" pivotButton="0" quotePrefix="0" xfId="0">
      <alignment horizontal="left" vertical="center"/>
    </xf>
    <xf numFmtId="3" fontId="9" fillId="9" borderId="8" applyAlignment="1" pivotButton="0" quotePrefix="0" xfId="0">
      <alignment horizontal="right" vertical="center"/>
    </xf>
    <xf numFmtId="0" fontId="8" fillId="11" borderId="10" applyAlignment="1" pivotButton="0" quotePrefix="0" xfId="0">
      <alignment horizontal="left" vertical="center"/>
    </xf>
    <xf numFmtId="3" fontId="8" fillId="11" borderId="10" applyAlignment="1" pivotButton="0" quotePrefix="0" xfId="0">
      <alignment horizontal="right" vertical="center"/>
    </xf>
    <xf numFmtId="0" fontId="3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3"/>
  <sheetViews>
    <sheetView tabSelected="1" zoomScale="85" zoomScaleNormal="85" workbookViewId="0">
      <selection activeCell="G18" sqref="G18"/>
    </sheetView>
  </sheetViews>
  <sheetFormatPr baseColWidth="8" defaultColWidth="12.5703125" defaultRowHeight="15" customHeight="1"/>
  <cols>
    <col width="62" customWidth="1" style="5" min="1" max="1"/>
    <col width="18" customWidth="1" style="5" min="2" max="2"/>
    <col width="22" customWidth="1" style="5" min="3" max="3"/>
    <col width="24" customWidth="1" style="5" min="4" max="4"/>
    <col width="24" customWidth="1" style="5" min="5" max="5"/>
    <col width="12.5703125" customWidth="1" style="5" min="6" max="7"/>
    <col width="12.5703125" customWidth="1" style="5" min="8" max="16384"/>
  </cols>
  <sheetData>
    <row r="1" ht="15.75" customHeight="1">
      <c r="A1" s="43" t="inlineStr">
        <is>
          <t>Nội dung thực hiện</t>
        </is>
      </c>
      <c r="B1" s="43" t="inlineStr">
        <is>
          <t>Số tồn kỳ trước</t>
        </is>
      </c>
      <c r="C1" s="43" t="inlineStr">
        <is>
          <t>Số hồ sơ tiếp nhận</t>
        </is>
      </c>
      <c r="D1" s="43" t="inlineStr">
        <is>
          <t>Số hồ sơ đã giải quyết</t>
        </is>
      </c>
      <c r="E1" s="43" t="inlineStr">
        <is>
          <t>Số hồ sơ chưa giải quyết</t>
        </is>
      </c>
    </row>
    <row r="2" ht="20" customHeight="1">
      <c r="A2" s="44" t="inlineStr">
        <is>
          <t>Công tác cấp GCN và GDBĐ</t>
        </is>
      </c>
      <c r="B2" s="45" t="n"/>
      <c r="C2" s="45" t="n"/>
      <c r="D2" s="45" t="n"/>
      <c r="E2" s="45" t="n"/>
    </row>
    <row r="3" ht="20" customHeight="1">
      <c r="A3" s="46" t="inlineStr">
        <is>
          <t>1. Công tác đăng ký biến động nhà đất</t>
        </is>
      </c>
      <c r="B3" s="47">
        <f>SUM(B4:B7)</f>
        <v/>
      </c>
      <c r="C3" s="47">
        <f>SUM(C4:C7)</f>
        <v/>
      </c>
      <c r="D3" s="47">
        <f>SUM(D4:D7)</f>
        <v/>
      </c>
      <c r="E3" s="48">
        <f>B3+C3-D3</f>
        <v/>
      </c>
    </row>
    <row r="4" ht="20" customHeight="1">
      <c r="A4" s="49" t="inlineStr">
        <is>
          <t>a) Cấp GCN cho người nhận chuyển nhượng tại các dự án</t>
        </is>
      </c>
      <c r="B4" s="50" t="n">
        <v>85</v>
      </c>
      <c r="C4" s="51" t="n">
        <v>0</v>
      </c>
      <c r="D4" s="51" t="n">
        <v>85</v>
      </c>
      <c r="E4" s="50">
        <f>B4+C4-D4</f>
        <v/>
      </c>
    </row>
    <row r="5" ht="20" customHeight="1">
      <c r="A5" s="49" t="inlineStr">
        <is>
          <t>b) Cấp GCN mới + Trình cấp GCN</t>
        </is>
      </c>
      <c r="B5" s="50" t="n">
        <v>38</v>
      </c>
      <c r="C5" s="50" t="n">
        <v>1974</v>
      </c>
      <c r="D5" s="52" t="n">
        <v>1722</v>
      </c>
      <c r="E5" s="50">
        <f>B5+C5-D5</f>
        <v/>
      </c>
    </row>
    <row r="6" ht="20" customHeight="1">
      <c r="A6" s="49" t="inlineStr">
        <is>
          <t>c) Đăng ký xác nhận thay đổi chủ sở hữu (Xác nhận trên GCN)</t>
        </is>
      </c>
      <c r="B6" s="50" t="n">
        <v>5</v>
      </c>
      <c r="C6" s="51" t="n">
        <v>33</v>
      </c>
      <c r="D6" s="51" t="n">
        <v>37</v>
      </c>
      <c r="E6" s="50">
        <f>B6+C6-D6</f>
        <v/>
      </c>
    </row>
    <row r="7" ht="20" customHeight="1">
      <c r="A7" s="49" t="inlineStr">
        <is>
          <t>Đơn xin rút hoặc trả hồ sơ (mục 1b, 1c)</t>
        </is>
      </c>
      <c r="B7" s="50" t="n">
        <v>0</v>
      </c>
      <c r="C7" s="51" t="n">
        <v>0</v>
      </c>
      <c r="D7" s="51" t="n">
        <v>0</v>
      </c>
      <c r="E7" s="50">
        <f>B7+C7-D7</f>
        <v/>
      </c>
    </row>
    <row r="8" ht="20" customHeight="1">
      <c r="A8" s="44" t="inlineStr">
        <is>
          <t>2. Đăng ký Giao dịch Bảo đảm (Mẫu 01)</t>
        </is>
      </c>
      <c r="B8" s="45" t="n"/>
      <c r="C8" s="45" t="n"/>
      <c r="D8" s="45" t="n"/>
      <c r="E8" s="45" t="n"/>
    </row>
    <row r="9" ht="20" customHeight="1">
      <c r="A9" s="46" t="inlineStr">
        <is>
          <t xml:space="preserve">Tổng số </t>
        </is>
      </c>
      <c r="B9" s="47">
        <f>SUM(B10:B14)</f>
        <v/>
      </c>
      <c r="C9" s="47">
        <f>SUM(C10:C14)</f>
        <v/>
      </c>
      <c r="D9" s="47">
        <f>SUM(D10:D14)</f>
        <v/>
      </c>
      <c r="E9" s="48">
        <f>B9+C9-D9</f>
        <v/>
      </c>
    </row>
    <row r="10" ht="20" customHeight="1">
      <c r="A10" s="53" t="inlineStr">
        <is>
          <t>Thế chấp</t>
        </is>
      </c>
      <c r="B10" s="54" t="n">
        <v>144</v>
      </c>
      <c r="C10" s="54" t="n">
        <v>1125</v>
      </c>
      <c r="D10" s="54" t="n">
        <v>1042</v>
      </c>
      <c r="E10" s="50">
        <f>B10+C10-D10</f>
        <v/>
      </c>
    </row>
    <row r="11" ht="20" customHeight="1">
      <c r="A11" s="53" t="inlineStr">
        <is>
          <t>Xóa Thế chấp</t>
        </is>
      </c>
      <c r="B11" s="54" t="n">
        <v>289</v>
      </c>
      <c r="C11" s="54" t="n">
        <v>1012</v>
      </c>
      <c r="D11" s="54" t="n">
        <v>889</v>
      </c>
      <c r="E11" s="50">
        <f>B11+C11-D11</f>
        <v/>
      </c>
    </row>
    <row r="12" ht="20" customHeight="1">
      <c r="A12" s="53" t="inlineStr">
        <is>
          <t>Văn bản thông báo</t>
        </is>
      </c>
      <c r="B12" s="54" t="n">
        <v>12</v>
      </c>
      <c r="C12" s="54" t="n">
        <v>26</v>
      </c>
      <c r="D12" s="54" t="n">
        <v>23</v>
      </c>
      <c r="E12" s="50">
        <f>B12+C12-D12</f>
        <v/>
      </c>
    </row>
    <row r="13" ht="20" customHeight="1">
      <c r="A13" s="53" t="inlineStr">
        <is>
          <t>Đăng ký thay đổi</t>
        </is>
      </c>
      <c r="B13" s="54" t="n">
        <v>4</v>
      </c>
      <c r="C13" s="54" t="n">
        <v>61</v>
      </c>
      <c r="D13" s="54" t="n">
        <v>60</v>
      </c>
      <c r="E13" s="50">
        <f>B13+C13-D13</f>
        <v/>
      </c>
    </row>
    <row r="14" ht="20" customHeight="1">
      <c r="A14" s="53" t="inlineStr">
        <is>
          <t>Loại khác</t>
        </is>
      </c>
      <c r="B14" s="54" t="n">
        <v>0</v>
      </c>
      <c r="C14" s="54" t="n">
        <v>1</v>
      </c>
      <c r="D14" s="54" t="n">
        <v>1</v>
      </c>
      <c r="E14" s="50">
        <f>B14+C14-D14</f>
        <v/>
      </c>
    </row>
    <row r="15" ht="20" customHeight="1">
      <c r="A15" s="44" t="inlineStr">
        <is>
          <t>3. Các loại đăng ký biến động khác</t>
        </is>
      </c>
      <c r="B15" s="45" t="n"/>
      <c r="C15" s="45" t="n"/>
      <c r="D15" s="45" t="n"/>
      <c r="E15" s="45" t="n"/>
    </row>
    <row r="16" ht="20" customHeight="1">
      <c r="A16" s="46" t="inlineStr">
        <is>
          <t xml:space="preserve">Tổng số </t>
        </is>
      </c>
      <c r="B16" s="47">
        <f>SUM(B17:B19)</f>
        <v/>
      </c>
      <c r="C16" s="47">
        <f>SUM(C17:C19)</f>
        <v/>
      </c>
      <c r="D16" s="47">
        <f>SUM(D17:D19)</f>
        <v/>
      </c>
      <c r="E16" s="48">
        <f>B16+C16-D16</f>
        <v/>
      </c>
    </row>
    <row r="17" ht="20" customHeight="1">
      <c r="A17" s="49" t="inlineStr">
        <is>
          <t>Cập nhật số nhà, CCCD mới, thay đổi họ tên, năm sinh, v.v.</t>
        </is>
      </c>
      <c r="B17" s="50" t="n">
        <v>14</v>
      </c>
      <c r="C17" s="51" t="n">
        <v>120</v>
      </c>
      <c r="D17" s="51" t="n">
        <v>107</v>
      </c>
      <c r="E17" s="50">
        <f>B17+C17-D17</f>
        <v/>
      </c>
    </row>
    <row r="18" ht="20" customHeight="1">
      <c r="A18" s="49" t="inlineStr">
        <is>
          <t xml:space="preserve"> Xóa nợ tiền sử dụng đất</t>
        </is>
      </c>
      <c r="B18" s="50" t="n">
        <v>14</v>
      </c>
      <c r="C18" s="51" t="n">
        <v>53</v>
      </c>
      <c r="D18" s="51" t="n">
        <v>50</v>
      </c>
      <c r="E18" s="50">
        <f>B18+C18-D18</f>
        <v/>
      </c>
    </row>
    <row r="19" ht="20" customHeight="1">
      <c r="A19" s="49" t="inlineStr">
        <is>
          <t>Đơn xin rút hoặc trả hồ sơ</t>
        </is>
      </c>
      <c r="B19" s="50" t="n">
        <v>0</v>
      </c>
      <c r="C19" s="51" t="n">
        <v>0</v>
      </c>
      <c r="D19" s="51" t="n">
        <v>0</v>
      </c>
      <c r="E19" s="50">
        <f>B19+C19-D19</f>
        <v/>
      </c>
    </row>
    <row r="20" ht="20" customHeight="1">
      <c r="A20" s="44" t="inlineStr">
        <is>
          <t>Hồ sơ kỹ thuật địa chính</t>
        </is>
      </c>
      <c r="B20" s="45" t="n"/>
      <c r="C20" s="45" t="n"/>
      <c r="D20" s="45" t="n"/>
      <c r="E20" s="45" t="n"/>
    </row>
    <row r="21" ht="20" customHeight="1">
      <c r="A21" s="46" t="inlineStr">
        <is>
          <t>Tổng số</t>
        </is>
      </c>
      <c r="B21" s="47">
        <f>B22+B23+B24+B27+B28</f>
        <v/>
      </c>
      <c r="C21" s="47">
        <f>C22+C23+C24+C27+C28</f>
        <v/>
      </c>
      <c r="D21" s="47">
        <f>D22+D23+D24+D27+D28</f>
        <v/>
      </c>
      <c r="E21" s="48">
        <f>B21+C21-D21</f>
        <v/>
      </c>
    </row>
    <row r="22" ht="20" customHeight="1">
      <c r="A22" s="55" t="inlineStr">
        <is>
          <t>1. Công tác đo vẽ hiện trạng</t>
        </is>
      </c>
      <c r="B22" s="50" t="n">
        <v>2624</v>
      </c>
      <c r="C22" s="56" t="n">
        <v>2361</v>
      </c>
      <c r="D22" s="56" t="n">
        <v>2156</v>
      </c>
      <c r="E22" s="50">
        <f>B22+C22-D22</f>
        <v/>
      </c>
    </row>
    <row r="23" ht="20" customHeight="1">
      <c r="A23" s="55" t="inlineStr">
        <is>
          <t>2. Xác nhận hồ sơ vị trí đất, cho thửa chính thức</t>
        </is>
      </c>
      <c r="B23" s="50" t="n">
        <v>105</v>
      </c>
      <c r="C23" s="56" t="n">
        <v>189</v>
      </c>
      <c r="D23" s="56" t="n">
        <v>292</v>
      </c>
      <c r="E23" s="50">
        <f>B23+C23-D23</f>
        <v/>
      </c>
    </row>
    <row r="24" ht="20" customHeight="1">
      <c r="A24" s="55" t="inlineStr">
        <is>
          <t>3. Kiểm tra bản vẽ (của các Công ty đo vẽ)</t>
        </is>
      </c>
      <c r="B24" s="50" t="n">
        <v>5</v>
      </c>
      <c r="C24" s="56" t="n">
        <v>132</v>
      </c>
      <c r="D24" s="56" t="n">
        <v>96</v>
      </c>
      <c r="E24" s="50">
        <f>B24+C24-D24</f>
        <v/>
      </c>
    </row>
    <row r="25" ht="20" customHeight="1">
      <c r="A25" s="57" t="inlineStr">
        <is>
          <t xml:space="preserve">           Đạt yêu cầu</t>
        </is>
      </c>
      <c r="B25" s="58" t="n"/>
      <c r="C25" s="59" t="n"/>
      <c r="D25" s="60" t="n">
        <v>77</v>
      </c>
      <c r="E25" s="58" t="n"/>
    </row>
    <row r="26" ht="20" customHeight="1">
      <c r="A26" s="57" t="inlineStr">
        <is>
          <t xml:space="preserve">           Không đạt</t>
        </is>
      </c>
      <c r="B26" s="58" t="n"/>
      <c r="C26" s="59" t="n"/>
      <c r="D26" s="60" t="n">
        <v>19</v>
      </c>
      <c r="E26" s="58" t="n"/>
    </row>
    <row r="27" ht="20" customHeight="1">
      <c r="A27" s="55" t="inlineStr">
        <is>
          <t>4. Xác minh hiện trạng</t>
        </is>
      </c>
      <c r="B27" s="50" t="n">
        <v>124</v>
      </c>
      <c r="C27" s="56" t="n">
        <v>83</v>
      </c>
      <c r="D27" s="56" t="n">
        <v>110</v>
      </c>
      <c r="E27" s="50">
        <f>B27+C27-D27</f>
        <v/>
      </c>
    </row>
    <row r="28" ht="20" customHeight="1">
      <c r="A28" s="55" t="inlineStr">
        <is>
          <t>5. Đã trích lục</t>
        </is>
      </c>
      <c r="B28" s="50" t="n">
        <v>696</v>
      </c>
      <c r="C28" s="56" t="n">
        <v>2575</v>
      </c>
      <c r="D28" s="56" t="n">
        <v>2561</v>
      </c>
      <c r="E28" s="50">
        <f>B28+C28-D28</f>
        <v/>
      </c>
    </row>
    <row r="29" ht="20" customHeight="1">
      <c r="A29" s="44" t="inlineStr">
        <is>
          <t>Tổng hợp cung cấp thông tin</t>
        </is>
      </c>
      <c r="B29" s="45" t="n"/>
      <c r="C29" s="45" t="n"/>
      <c r="D29" s="45" t="n"/>
      <c r="E29" s="45" t="n"/>
    </row>
    <row r="30" ht="20" customHeight="1">
      <c r="A30" s="61" t="inlineStr">
        <is>
          <t>Tổng số hồ sơ</t>
        </is>
      </c>
      <c r="B30" s="47">
        <f>SUM(B31:B32)</f>
        <v/>
      </c>
      <c r="C30" s="47">
        <f>SUM(C31:C32)</f>
        <v/>
      </c>
      <c r="D30" s="47">
        <f>SUM(D31:D32)</f>
        <v/>
      </c>
      <c r="E30" s="48">
        <f>B30+C30-D30</f>
        <v/>
      </c>
    </row>
    <row r="31" ht="20" customHeight="1">
      <c r="A31" s="62" t="inlineStr">
        <is>
          <t>Cung cấp thông tin cho hộ gia đình, cá nhân</t>
        </is>
      </c>
      <c r="B31" s="50" t="n">
        <v>19</v>
      </c>
      <c r="C31" s="63" t="n">
        <v>1052</v>
      </c>
      <c r="D31" s="63" t="n">
        <v>1041</v>
      </c>
      <c r="E31" s="50">
        <f>B31+C31-D31</f>
        <v/>
      </c>
    </row>
    <row r="32" ht="20" customHeight="1">
      <c r="A32" s="62" t="inlineStr">
        <is>
          <t>Cung cấp thông tin hỗ trợ tư pháp và các cơ quan ban ngành khác (Tòa án, Thi hành án, Công an, Chi cục Thuế…)</t>
        </is>
      </c>
      <c r="B32" s="50" t="n">
        <v>53</v>
      </c>
      <c r="C32" s="63" t="n">
        <v>1046</v>
      </c>
      <c r="D32" s="63" t="n">
        <v>983</v>
      </c>
      <c r="E32" s="50">
        <f>B32+C32-D32</f>
        <v/>
      </c>
    </row>
    <row r="33" ht="20" customHeight="1">
      <c r="A33" s="64" t="inlineStr">
        <is>
          <t>TỔNG CỘNG TOÀN CHI NHÁNH</t>
        </is>
      </c>
      <c r="B33" s="65">
        <f>B3+B9+B16+B21+B30</f>
        <v/>
      </c>
      <c r="C33" s="65">
        <f>C3+C9+C16+C21+C30</f>
        <v/>
      </c>
      <c r="D33" s="65">
        <f>D3+D9+D16+D21+D30</f>
        <v/>
      </c>
      <c r="E33" s="65">
        <f>B33+C33-D33</f>
        <v/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hc11</dc:creator>
  <dcterms:created xmlns:dcterms="http://purl.org/dc/terms/" xmlns:xsi="http://www.w3.org/2001/XMLSchema-instance" xsi:type="dcterms:W3CDTF">2025-10-19T08:31:30Z</dcterms:created>
  <dcterms:modified xmlns:dcterms="http://purl.org/dc/terms/" xmlns:xsi="http://www.w3.org/2001/XMLSchema-instance" xsi:type="dcterms:W3CDTF">2026-09-18T03:29:12Z</dcterms:modified>
  <cp:lastModifiedBy>hc43</cp:lastModifiedBy>
  <cp:lastPrinted>2026-09-03T09:54:19Z</cp:lastPrinted>
</cp:coreProperties>
</file>