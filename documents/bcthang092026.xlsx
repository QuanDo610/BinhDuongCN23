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3256" windowHeight="9540"/>
  </bookViews>
  <sheets>
    <sheet name="hãy tạo 1 biểu excel từ các thô" sheetId="1" r:id="rId1"/>
    <sheet name="Trang tính1" sheetId="2" r:id="rId2"/>
  </sheets>
  <calcPr calcId="144525"/>
  <extLst>
    <ext uri="GoogleSheetsCustomDataVersion2">
      <go:sheetsCustomData xmlns:go="http://customooxmlschemas.google.com/" r:id="" roundtripDataChecksum="OHia1QB/pSAZP6c4TpTZlbQ5kVqZY+dVqvpQDx+31Vo="/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15" i="1"/>
  <c r="E16" i="1"/>
  <c r="E17" i="1"/>
  <c r="E18" i="1"/>
  <c r="E19" i="1"/>
  <c r="E20" i="1"/>
  <c r="E9" i="1"/>
  <c r="D32" i="1" l="1"/>
  <c r="D31" i="1"/>
  <c r="C31" i="1"/>
  <c r="D18" i="1"/>
  <c r="D17" i="1"/>
  <c r="C18" i="1"/>
  <c r="C16" i="1" s="1"/>
  <c r="C17" i="1"/>
  <c r="D13" i="1"/>
  <c r="D12" i="1"/>
  <c r="D11" i="1"/>
  <c r="D10" i="1"/>
  <c r="D9" i="1" s="1"/>
  <c r="C13" i="1"/>
  <c r="C12" i="1"/>
  <c r="C11" i="1"/>
  <c r="C9" i="1" s="1"/>
  <c r="C10" i="1"/>
  <c r="D6" i="1"/>
  <c r="D5" i="1"/>
  <c r="C6" i="1"/>
  <c r="C5" i="1"/>
</calcChain>
</file>

<file path=xl/sharedStrings.xml><?xml version="1.0" encoding="utf-8"?>
<sst xmlns="http://schemas.openxmlformats.org/spreadsheetml/2006/main" count="36" uniqueCount="35">
  <si>
    <t>28+14+6</t>
  </si>
  <si>
    <t>Sô tồn kỳ trước</t>
  </si>
  <si>
    <t>Số hồ sơ tiếp nhận</t>
  </si>
  <si>
    <t>Số hồ sơ đã giải quyết</t>
  </si>
  <si>
    <t>Số hồ sơ chưa giải quyết</t>
  </si>
  <si>
    <t>Công tác cấp GCN và GDBĐ</t>
  </si>
  <si>
    <t>1. Công tác đăng ký biến động nhà đất</t>
  </si>
  <si>
    <t>a) Cấp GCN cho người nhận chuyển nhượng tại các dự án</t>
  </si>
  <si>
    <t>b) Cấp GCN mới + Trình cấp GCN</t>
  </si>
  <si>
    <t>c) Đăng ký xác nhận thay đổi chủ sở hữu (Xác nhận trên GCN)</t>
  </si>
  <si>
    <t>Đơn xin rút hoặc trả hồ sơ (mục 1b, 1c)</t>
  </si>
  <si>
    <t>2. Đăng ký Giao dịch Bảo đảm (Mẫu 01)</t>
  </si>
  <si>
    <t xml:space="preserve">Tổng số </t>
  </si>
  <si>
    <t>Thế chấp</t>
  </si>
  <si>
    <t>Xóa Thế chấp</t>
  </si>
  <si>
    <t>Văn bản thông báo</t>
  </si>
  <si>
    <t>Đăng ký thay đổi</t>
  </si>
  <si>
    <t>Loại khác</t>
  </si>
  <si>
    <t>3. Các loại đăng ký biến động khác</t>
  </si>
  <si>
    <t>Cập nhật số nhà, CCCD mới, thay đổi họ tên, năm sinh, v.v.</t>
  </si>
  <si>
    <t xml:space="preserve"> Xóa nợ tiền sử dụng đất</t>
  </si>
  <si>
    <t>Đơn xin rút hoặc trả hồ sơ</t>
  </si>
  <si>
    <t>Hồ sơ kỹ thuật địa chính</t>
  </si>
  <si>
    <t>Tổng số</t>
  </si>
  <si>
    <t>1. Công tác đo vẽ hiện trạng</t>
  </si>
  <si>
    <t>2. Xác nhận hồ sơ vị trí đất, cho thửa chính thức</t>
  </si>
  <si>
    <t>3. Kiểm tra bản vẽ (của các Công ty đo vẽ)</t>
  </si>
  <si>
    <t xml:space="preserve">           Đạt yêu cầu</t>
  </si>
  <si>
    <t xml:space="preserve">           Không đạt</t>
  </si>
  <si>
    <t>4. Xác minh hiện trạng</t>
  </si>
  <si>
    <t>5. Đã trích lục</t>
  </si>
  <si>
    <t>Tổng hợp cung cấp thông tin</t>
  </si>
  <si>
    <t>Tổng số hồ sơ</t>
  </si>
  <si>
    <t>Cung cấp thông tin cho hộ gia đình, cá nhân</t>
  </si>
  <si>
    <t>Cung cấp thông tin hỗ trợ tư pháp và các cơ quan ban ngành khác (Tòa án, Thi hành án, Công an, Chi cục Thuế…)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</si>
</sst>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0"/>
      <color rgb="FF000000"/>
      <name val="Arial"/>
      <scheme val="minor"/>
    </font>
    <font>
      <b/>
      <sz val="12"/>
      <color rgb="FF000000"/>
      <name val="Times New Roman"/>
    </font>
    <font>
      <b/>
      <sz val="12"/>
      <color theme="1"/>
      <name val="Times New Roman"/>
    </font>
    <font>
      <sz val="12"/>
      <color rgb="FF000000"/>
      <name val="Times New Roman"/>
    </font>
    <font>
      <b/>
      <sz val="12"/>
      <color rgb="FFFF0000"/>
      <name val="Times New Roman"/>
    </font>
    <font>
      <sz val="12"/>
      <color theme="1"/>
      <name val="Times New Roman"/>
    </font>
    <font>
      <sz val="10"/>
      <color theme="1"/>
      <name val="Arial"/>
      <scheme val="minor"/>
    </font>
    <font>
      <sz val="12"/>
      <color rgb="FF000000"/>
      <name val="&quot;Times New Roman&quot;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0" fontId="3" fillId="3" borderId="2" xfId="0" applyFont="1" applyFill="1" applyBorder="1"/>
    <xf numFmtId="0" fontId="3" fillId="0" borderId="1" xfId="0" applyFont="1" applyBorder="1"/>
    <xf numFmtId="0" fontId="3" fillId="4" borderId="2" xfId="0" applyFont="1" applyFill="1" applyBorder="1"/>
    <xf numFmtId="0" fontId="5" fillId="0" borderId="0" xfId="0" applyFont="1"/>
    <xf numFmtId="0" fontId="5" fillId="0" borderId="1" xfId="0" applyFont="1" applyFill="1" applyBorder="1"/>
    <xf numFmtId="0" fontId="3" fillId="0" borderId="1" xfId="0" applyFont="1" applyFill="1" applyBorder="1"/>
    <xf numFmtId="0" fontId="6" fillId="0" borderId="1" xfId="0" applyFont="1" applyFill="1" applyBorder="1"/>
    <xf numFmtId="0" fontId="3" fillId="0" borderId="1" xfId="0" applyFont="1" applyFill="1" applyBorder="1" applyAlignment="1"/>
    <xf numFmtId="0" fontId="6" fillId="0" borderId="0" xfId="0" applyFont="1" applyFill="1" applyAlignment="1"/>
    <xf numFmtId="0" fontId="5" fillId="0" borderId="1" xfId="0" applyFont="1" applyFill="1" applyBorder="1" applyAlignment="1"/>
    <xf numFmtId="0" fontId="1" fillId="0" borderId="1" xfId="0" applyFont="1" applyFill="1" applyBorder="1"/>
    <xf numFmtId="0" fontId="6" fillId="0" borderId="1" xfId="0" applyFont="1" applyFill="1" applyBorder="1" applyAlignment="1"/>
    <xf numFmtId="0" fontId="2" fillId="0" borderId="1" xfId="0" applyFont="1" applyFill="1" applyBorder="1"/>
    <xf numFmtId="0" fontId="7" fillId="0" borderId="0" xfId="0" applyFont="1" applyFill="1" applyAlignment="1">
      <alignment horizontal="right"/>
    </xf>
    <xf numFmtId="0" fontId="3" fillId="0" borderId="3" xfId="0" applyFont="1" applyFill="1" applyBorder="1" applyAlignment="1"/>
    <xf numFmtId="0" fontId="5" fillId="0" borderId="1" xfId="0" applyFont="1" applyFill="1" applyBorder="1" applyAlignment="1">
      <alignment horizontal="right"/>
    </xf>
    <xf numFmtId="0" fontId="4" fillId="0" borderId="0" xfId="0" applyFont="1" applyFill="1"/>
    <xf numFmtId="0" fontId="3" fillId="0" borderId="2" xfId="0" applyFont="1" applyFill="1" applyBorder="1"/>
    <xf numFmtId="0" fontId="3" fillId="0" borderId="0" xfId="0" applyFont="1" applyFill="1"/>
    <xf numFmtId="0" fontId="5" fillId="0" borderId="0" xfId="0" applyFont="1" applyFill="1"/>
    <xf numFmtId="0" fontId="5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0"/>
  <sheetViews>
    <sheetView tabSelected="1" zoomScale="85" zoomScaleNormal="85" workbookViewId="0">
      <selection activeCell="D26" sqref="D26"/>
    </sheetView>
  </sheetViews>
  <sheetFormatPr defaultColWidth="12.5546875" defaultRowHeight="15" customHeight="1"/>
  <cols>
    <col min="1" max="1" width="55.44140625" customWidth="1"/>
    <col min="2" max="2" width="17.44140625" customWidth="1"/>
    <col min="3" max="3" width="17.109375" customWidth="1"/>
    <col min="4" max="4" width="23.77734375" customWidth="1"/>
    <col min="5" max="5" width="15.44140625" customWidth="1"/>
    <col min="6" max="6" width="12.5546875" customWidth="1"/>
  </cols>
  <sheetData>
    <row r="1" spans="1:25" ht="15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5.75" customHeight="1">
      <c r="A2" s="6" t="s">
        <v>5</v>
      </c>
      <c r="B2" s="6"/>
      <c r="C2" s="6"/>
      <c r="D2" s="6"/>
      <c r="E2" s="6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7"/>
      <c r="V2" s="7"/>
      <c r="W2" s="7"/>
      <c r="X2" s="7"/>
      <c r="Y2" s="7"/>
    </row>
    <row r="3" spans="1:25" ht="15.75" customHeight="1">
      <c r="A3" s="12" t="s">
        <v>6</v>
      </c>
      <c r="B3" s="13">
        <v>22</v>
      </c>
      <c r="C3" s="13">
        <v>0</v>
      </c>
      <c r="D3" s="13">
        <v>0</v>
      </c>
      <c r="E3" s="14">
        <v>0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8"/>
      <c r="V3" s="8"/>
      <c r="W3" s="8"/>
      <c r="X3" s="8"/>
      <c r="Y3" s="8"/>
    </row>
    <row r="4" spans="1:25" ht="15.75" customHeight="1">
      <c r="A4" s="12" t="s">
        <v>7</v>
      </c>
      <c r="B4" s="15">
        <v>0</v>
      </c>
      <c r="C4" s="15">
        <v>0</v>
      </c>
      <c r="D4" s="15">
        <v>0</v>
      </c>
      <c r="E4" s="22">
        <v>0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5"/>
      <c r="V4" s="5"/>
      <c r="W4" s="5"/>
      <c r="X4" s="5"/>
      <c r="Y4" s="5"/>
    </row>
    <row r="5" spans="1:25" ht="15.75" customHeight="1">
      <c r="A5" s="12" t="s">
        <v>8</v>
      </c>
      <c r="B5" s="15">
        <v>22</v>
      </c>
      <c r="C5" s="16">
        <f>25+26+92+70+35+18+106+83+158+143+21+155</f>
        <v>932</v>
      </c>
      <c r="D5" s="15">
        <f>20+26+82+100+15+21+93+87+121+32+100</f>
        <v>697</v>
      </c>
      <c r="E5" s="14">
        <v>257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5"/>
      <c r="V5" s="5"/>
      <c r="W5" s="5"/>
      <c r="X5" s="5"/>
      <c r="Y5" s="5"/>
    </row>
    <row r="6" spans="1:25" ht="15.75" customHeight="1">
      <c r="A6" s="12" t="s">
        <v>9</v>
      </c>
      <c r="B6" s="15">
        <v>0</v>
      </c>
      <c r="C6" s="15">
        <f>2+3+1+3+3</f>
        <v>12</v>
      </c>
      <c r="D6" s="15">
        <f>6+1+2+2</f>
        <v>11</v>
      </c>
      <c r="E6" s="14">
        <v>1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5"/>
      <c r="V6" s="5"/>
      <c r="W6" s="5"/>
      <c r="X6" s="5"/>
      <c r="Y6" s="5"/>
    </row>
    <row r="7" spans="1:25" ht="15.75" customHeight="1">
      <c r="A7" s="12" t="s">
        <v>10</v>
      </c>
      <c r="B7" s="13">
        <v>0</v>
      </c>
      <c r="C7" s="15">
        <v>0</v>
      </c>
      <c r="D7" s="15">
        <v>0</v>
      </c>
      <c r="E7" s="14">
        <v>0</v>
      </c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5"/>
      <c r="V7" s="5"/>
      <c r="W7" s="5"/>
      <c r="X7" s="5"/>
      <c r="Y7" s="5"/>
    </row>
    <row r="8" spans="1:25" ht="15.75" customHeight="1">
      <c r="A8" s="12" t="s">
        <v>11</v>
      </c>
      <c r="B8" s="13"/>
      <c r="C8" s="13"/>
      <c r="D8" s="13"/>
      <c r="E8" s="14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5"/>
      <c r="V8" s="5"/>
      <c r="W8" s="5"/>
      <c r="X8" s="5"/>
      <c r="Y8" s="5"/>
    </row>
    <row r="9" spans="1:25" ht="15.75" customHeight="1">
      <c r="A9" s="12" t="s">
        <v>12</v>
      </c>
      <c r="B9" s="13">
        <v>191</v>
      </c>
      <c r="C9" s="13">
        <f>SUM(C10:C13)</f>
        <v>856</v>
      </c>
      <c r="D9" s="13">
        <f>SUM(D10:D13)</f>
        <v>766</v>
      </c>
      <c r="E9" s="14">
        <f>(B9+C9)-D9</f>
        <v>281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5"/>
      <c r="V9" s="5"/>
      <c r="W9" s="5"/>
      <c r="X9" s="5"/>
      <c r="Y9" s="5"/>
    </row>
    <row r="10" spans="1:25" ht="15.75" customHeight="1">
      <c r="A10" s="12" t="s">
        <v>13</v>
      </c>
      <c r="B10" s="13">
        <v>46</v>
      </c>
      <c r="C10" s="17">
        <f>1+78+77+2+59+76+88+9+6+22</f>
        <v>418</v>
      </c>
      <c r="D10" s="15">
        <f>1+78+77+3+59+76+9+6+22</f>
        <v>331</v>
      </c>
      <c r="E10" s="14">
        <f t="shared" ref="E10:E20" si="0">(B10+C10)-D10</f>
        <v>133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10"/>
      <c r="V10" s="10"/>
      <c r="W10" s="10"/>
      <c r="X10" s="10"/>
      <c r="Y10" s="10"/>
    </row>
    <row r="11" spans="1:25" ht="15.75" customHeight="1">
      <c r="A11" s="12" t="s">
        <v>14</v>
      </c>
      <c r="B11" s="13">
        <v>139</v>
      </c>
      <c r="C11" s="17">
        <f>1+3+112+57+2+3+72+59+20+2+12+53</f>
        <v>396</v>
      </c>
      <c r="D11" s="15">
        <f>1+2+112+57+2+4+72+59+20+2+12+53</f>
        <v>396</v>
      </c>
      <c r="E11" s="14">
        <f t="shared" si="0"/>
        <v>139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10"/>
      <c r="V11" s="10"/>
      <c r="W11" s="10"/>
      <c r="X11" s="10"/>
      <c r="Y11" s="10"/>
    </row>
    <row r="12" spans="1:25" ht="15.75" customHeight="1">
      <c r="A12" s="12" t="s">
        <v>15</v>
      </c>
      <c r="B12" s="13">
        <v>4</v>
      </c>
      <c r="C12" s="17">
        <f>1+1+2+1+1+7</f>
        <v>13</v>
      </c>
      <c r="D12" s="15">
        <f>1+1+1+1+6</f>
        <v>10</v>
      </c>
      <c r="E12" s="14">
        <f t="shared" si="0"/>
        <v>7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10"/>
      <c r="V12" s="10"/>
      <c r="W12" s="10"/>
      <c r="X12" s="10"/>
      <c r="Y12" s="10"/>
    </row>
    <row r="13" spans="1:25" ht="15.75" customHeight="1">
      <c r="A13" s="12" t="s">
        <v>16</v>
      </c>
      <c r="B13" s="13">
        <v>2</v>
      </c>
      <c r="C13" s="17">
        <f>7+10+4+6+2</f>
        <v>29</v>
      </c>
      <c r="D13" s="15">
        <f>7+10+4+6+2</f>
        <v>29</v>
      </c>
      <c r="E13" s="14">
        <f t="shared" si="0"/>
        <v>2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10"/>
      <c r="V13" s="10"/>
      <c r="W13" s="10"/>
      <c r="X13" s="10"/>
      <c r="Y13" s="10"/>
    </row>
    <row r="14" spans="1:25" ht="15.75" customHeight="1">
      <c r="A14" s="12" t="s">
        <v>17</v>
      </c>
      <c r="B14" s="13">
        <v>0</v>
      </c>
      <c r="C14" s="17">
        <v>0</v>
      </c>
      <c r="D14" s="15">
        <v>0</v>
      </c>
      <c r="E14" s="14">
        <f t="shared" si="0"/>
        <v>0</v>
      </c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10"/>
      <c r="V14" s="10"/>
      <c r="W14" s="10"/>
      <c r="X14" s="10"/>
      <c r="Y14" s="10"/>
    </row>
    <row r="15" spans="1:25" ht="15.75" customHeight="1">
      <c r="A15" s="12" t="s">
        <v>18</v>
      </c>
      <c r="B15" s="12"/>
      <c r="C15" s="12"/>
      <c r="D15" s="12"/>
      <c r="E15" s="14">
        <f t="shared" si="0"/>
        <v>0</v>
      </c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11"/>
      <c r="V15" s="11"/>
      <c r="W15" s="11"/>
      <c r="X15" s="11"/>
      <c r="Y15" s="11"/>
    </row>
    <row r="16" spans="1:25" ht="15.75" customHeight="1">
      <c r="A16" s="12" t="s">
        <v>12</v>
      </c>
      <c r="B16" s="13">
        <v>16</v>
      </c>
      <c r="C16" s="13">
        <f>SUM(C17:C18)</f>
        <v>83</v>
      </c>
      <c r="D16" s="13"/>
      <c r="E16" s="14">
        <f t="shared" si="0"/>
        <v>99</v>
      </c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8"/>
      <c r="V16" s="8"/>
      <c r="W16" s="8"/>
      <c r="X16" s="8"/>
      <c r="Y16" s="8"/>
    </row>
    <row r="17" spans="1:25" ht="15.75" customHeight="1">
      <c r="A17" s="12" t="s">
        <v>19</v>
      </c>
      <c r="B17" s="13">
        <v>4</v>
      </c>
      <c r="C17" s="15">
        <f>4+5+6+14+3+2+9+3+7+3+8</f>
        <v>64</v>
      </c>
      <c r="D17" s="15">
        <f>3+1+6+3+12+3+7+3+7</f>
        <v>45</v>
      </c>
      <c r="E17" s="14">
        <f t="shared" si="0"/>
        <v>23</v>
      </c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5"/>
      <c r="V17" s="5"/>
      <c r="W17" s="5"/>
      <c r="X17" s="5"/>
      <c r="Y17" s="5"/>
    </row>
    <row r="18" spans="1:25" ht="15.75" customHeight="1">
      <c r="A18" s="12" t="s">
        <v>20</v>
      </c>
      <c r="B18" s="13">
        <v>12</v>
      </c>
      <c r="C18" s="15">
        <f>6+9+2+2</f>
        <v>19</v>
      </c>
      <c r="D18" s="15">
        <f>2+5+6+9+4+2</f>
        <v>28</v>
      </c>
      <c r="E18" s="14">
        <f t="shared" si="0"/>
        <v>3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5"/>
      <c r="V18" s="5"/>
      <c r="W18" s="5"/>
      <c r="X18" s="5"/>
      <c r="Y18" s="5"/>
    </row>
    <row r="19" spans="1:25" ht="15.75" customHeight="1">
      <c r="A19" s="12" t="s">
        <v>21</v>
      </c>
      <c r="B19" s="13">
        <v>0</v>
      </c>
      <c r="C19" s="15"/>
      <c r="D19" s="15"/>
      <c r="E19" s="14">
        <f t="shared" si="0"/>
        <v>0</v>
      </c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5"/>
      <c r="V19" s="5"/>
      <c r="W19" s="5"/>
      <c r="X19" s="5"/>
      <c r="Y19" s="5"/>
    </row>
    <row r="20" spans="1:25" ht="15.75" customHeight="1">
      <c r="A20" s="18" t="s">
        <v>22</v>
      </c>
      <c r="B20" s="13"/>
      <c r="C20" s="12"/>
      <c r="D20" s="12"/>
      <c r="E20" s="14">
        <f t="shared" si="0"/>
        <v>0</v>
      </c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5"/>
      <c r="V20" s="5"/>
      <c r="W20" s="5"/>
      <c r="X20" s="5"/>
      <c r="Y20" s="5"/>
    </row>
    <row r="21" spans="1:25" ht="15.75" customHeight="1">
      <c r="A21" s="12" t="s">
        <v>23</v>
      </c>
      <c r="B21" s="13"/>
      <c r="C21" s="12"/>
      <c r="D21" s="12"/>
      <c r="E21" s="14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8"/>
      <c r="V21" s="8"/>
      <c r="W21" s="8"/>
      <c r="X21" s="8"/>
      <c r="Y21" s="8"/>
    </row>
    <row r="22" spans="1:25" ht="15.75" customHeight="1">
      <c r="A22" s="12" t="s">
        <v>24</v>
      </c>
      <c r="B22" s="15">
        <v>799</v>
      </c>
      <c r="C22" s="17">
        <v>739</v>
      </c>
      <c r="D22" s="17">
        <v>773</v>
      </c>
      <c r="E22" s="19">
        <v>765</v>
      </c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5"/>
      <c r="V22" s="5"/>
      <c r="W22" s="5"/>
      <c r="X22" s="5"/>
      <c r="Y22" s="5"/>
    </row>
    <row r="23" spans="1:25" ht="15.75" customHeight="1">
      <c r="A23" s="12" t="s">
        <v>25</v>
      </c>
      <c r="B23" s="15">
        <v>0</v>
      </c>
      <c r="C23" s="17">
        <v>75</v>
      </c>
      <c r="D23" s="17">
        <v>75</v>
      </c>
      <c r="E23" s="19">
        <v>0</v>
      </c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5"/>
      <c r="V23" s="5"/>
      <c r="W23" s="5"/>
      <c r="X23" s="5"/>
      <c r="Y23" s="5"/>
    </row>
    <row r="24" spans="1:25" ht="15.75" customHeight="1">
      <c r="A24" s="12" t="s">
        <v>26</v>
      </c>
      <c r="B24" s="15">
        <v>0</v>
      </c>
      <c r="C24" s="17">
        <v>88</v>
      </c>
      <c r="D24" s="17">
        <v>51</v>
      </c>
      <c r="E24" s="19">
        <v>37</v>
      </c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5"/>
      <c r="V24" s="5"/>
      <c r="W24" s="5"/>
      <c r="X24" s="5"/>
      <c r="Y24" s="5"/>
    </row>
    <row r="25" spans="1:25" ht="15.75" customHeight="1">
      <c r="A25" s="12" t="s">
        <v>27</v>
      </c>
      <c r="B25" s="15">
        <v>0</v>
      </c>
      <c r="C25" s="15">
        <v>51</v>
      </c>
      <c r="D25" s="17">
        <v>51</v>
      </c>
      <c r="E25" s="19">
        <v>0</v>
      </c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5"/>
      <c r="V25" s="5"/>
      <c r="W25" s="5"/>
      <c r="X25" s="5"/>
      <c r="Y25" s="5"/>
    </row>
    <row r="26" spans="1:25" ht="15.75" customHeight="1">
      <c r="A26" s="12" t="s">
        <v>28</v>
      </c>
      <c r="B26" s="15">
        <v>0</v>
      </c>
      <c r="C26" s="15">
        <v>37</v>
      </c>
      <c r="D26" s="17">
        <v>0</v>
      </c>
      <c r="E26" s="19">
        <v>37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5"/>
      <c r="V26" s="5"/>
      <c r="W26" s="5"/>
      <c r="X26" s="5"/>
      <c r="Y26" s="5"/>
    </row>
    <row r="27" spans="1:25" ht="15.75" customHeight="1">
      <c r="A27" s="12" t="s">
        <v>29</v>
      </c>
      <c r="B27" s="15">
        <v>40</v>
      </c>
      <c r="C27" s="17">
        <v>7</v>
      </c>
      <c r="D27" s="17">
        <v>21</v>
      </c>
      <c r="E27" s="19">
        <v>26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5"/>
      <c r="V27" s="5"/>
      <c r="W27" s="5"/>
      <c r="X27" s="5"/>
      <c r="Y27" s="5"/>
    </row>
    <row r="28" spans="1:25" ht="15.75" customHeight="1">
      <c r="A28" s="12" t="s">
        <v>30</v>
      </c>
      <c r="B28" s="15">
        <v>225</v>
      </c>
      <c r="C28" s="17">
        <v>959</v>
      </c>
      <c r="D28" s="17">
        <v>1070</v>
      </c>
      <c r="E28" s="19">
        <v>114</v>
      </c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5"/>
      <c r="V28" s="5"/>
      <c r="W28" s="5"/>
      <c r="X28" s="5"/>
      <c r="Y28" s="5"/>
    </row>
    <row r="29" spans="1:25" ht="15.75" customHeight="1">
      <c r="A29" s="20" t="s">
        <v>31</v>
      </c>
      <c r="B29" s="13"/>
      <c r="C29" s="15"/>
      <c r="D29" s="12"/>
      <c r="E29" s="14"/>
      <c r="F29" s="27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5"/>
      <c r="V29" s="5"/>
      <c r="W29" s="5"/>
      <c r="X29" s="5"/>
      <c r="Y29" s="5"/>
    </row>
    <row r="30" spans="1:25" ht="15.75" customHeight="1">
      <c r="A30" s="12" t="s">
        <v>32</v>
      </c>
      <c r="B30" s="13">
        <v>63</v>
      </c>
      <c r="C30" s="17">
        <v>672</v>
      </c>
      <c r="D30" s="17">
        <v>652</v>
      </c>
      <c r="E30" s="14">
        <v>83</v>
      </c>
      <c r="F30" s="2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8"/>
      <c r="V30" s="8"/>
      <c r="W30" s="8"/>
      <c r="X30" s="8"/>
      <c r="Y30" s="8"/>
    </row>
    <row r="31" spans="1:25" ht="15.75" customHeight="1">
      <c r="A31" s="12" t="s">
        <v>33</v>
      </c>
      <c r="B31" s="21">
        <v>10</v>
      </c>
      <c r="C31" s="17">
        <f>97+89+111+80</f>
        <v>377</v>
      </c>
      <c r="D31" s="17">
        <f>95+85+107+80</f>
        <v>367</v>
      </c>
      <c r="E31" s="13">
        <v>20</v>
      </c>
      <c r="F31" s="27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5"/>
      <c r="V31" s="5"/>
      <c r="W31" s="5"/>
      <c r="X31" s="5"/>
      <c r="Y31" s="5"/>
    </row>
    <row r="32" spans="1:25" ht="15.75" customHeight="1">
      <c r="A32" s="12" t="s">
        <v>34</v>
      </c>
      <c r="B32" s="21">
        <v>53</v>
      </c>
      <c r="C32" s="17">
        <v>295</v>
      </c>
      <c r="D32" s="23">
        <f>50+99+73+63</f>
        <v>285</v>
      </c>
      <c r="E32" s="13">
        <v>63</v>
      </c>
      <c r="F32" s="27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5"/>
      <c r="V32" s="5"/>
      <c r="W32" s="5"/>
      <c r="X32" s="5"/>
      <c r="Y32" s="5"/>
    </row>
    <row r="33" spans="1:25" ht="15.75" customHeight="1">
      <c r="A33" s="9"/>
      <c r="B33" s="9"/>
      <c r="C33" s="9"/>
      <c r="D33" s="9"/>
      <c r="E33" s="9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5"/>
      <c r="V33" s="5"/>
      <c r="W33" s="5"/>
      <c r="X33" s="5"/>
      <c r="Y33" s="5"/>
    </row>
    <row r="34" spans="1:25" ht="15.75" customHeight="1">
      <c r="A34" s="5"/>
      <c r="B34" s="5"/>
      <c r="C34" s="5"/>
      <c r="D34" s="5"/>
      <c r="E34" s="5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5"/>
      <c r="V34" s="5"/>
      <c r="W34" s="5"/>
      <c r="X34" s="5"/>
      <c r="Y34" s="5"/>
    </row>
    <row r="35" spans="1:25" ht="15.75" customHeight="1">
      <c r="A35" s="5"/>
      <c r="B35" s="5"/>
      <c r="C35" s="5"/>
      <c r="D35" s="5"/>
      <c r="E35" s="5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5"/>
      <c r="V35" s="5"/>
      <c r="W35" s="5"/>
      <c r="X35" s="5"/>
      <c r="Y35" s="5"/>
    </row>
    <row r="36" spans="1:25" ht="15.75" customHeight="1">
      <c r="A36" s="5"/>
      <c r="B36" s="5"/>
      <c r="C36" s="5"/>
      <c r="D36" s="5"/>
      <c r="E36" s="5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5"/>
      <c r="V36" s="5"/>
      <c r="W36" s="5"/>
      <c r="X36" s="5"/>
      <c r="Y36" s="5"/>
    </row>
    <row r="37" spans="1:25" ht="15.75" customHeight="1">
      <c r="A37" s="5"/>
      <c r="B37" s="5"/>
      <c r="C37" s="5"/>
      <c r="D37" s="5"/>
      <c r="E37" s="5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5"/>
      <c r="V37" s="5"/>
      <c r="W37" s="5"/>
      <c r="X37" s="5"/>
      <c r="Y37" s="5"/>
    </row>
    <row r="38" spans="1:25" ht="15.75" customHeight="1">
      <c r="A38" s="5"/>
      <c r="B38" s="5"/>
      <c r="C38" s="5"/>
      <c r="D38" s="5"/>
      <c r="E38" s="5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5"/>
      <c r="V38" s="5"/>
      <c r="W38" s="5"/>
      <c r="X38" s="5"/>
      <c r="Y38" s="5"/>
    </row>
    <row r="39" spans="1:25" ht="15.75" customHeight="1">
      <c r="A39" s="5"/>
      <c r="B39" s="5"/>
      <c r="C39" s="5"/>
      <c r="D39" s="5"/>
      <c r="E39" s="5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5"/>
      <c r="V39" s="5"/>
      <c r="W39" s="5"/>
      <c r="X39" s="5"/>
      <c r="Y39" s="5"/>
    </row>
    <row r="40" spans="1:25" ht="15.75" customHeight="1">
      <c r="A40" s="5"/>
      <c r="B40" s="5"/>
      <c r="C40" s="5"/>
      <c r="D40" s="5"/>
      <c r="E40" s="5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5"/>
      <c r="V40" s="5"/>
      <c r="W40" s="5"/>
      <c r="X40" s="5"/>
      <c r="Y40" s="5"/>
    </row>
    <row r="41" spans="1:25" ht="15.75" customHeight="1">
      <c r="A41" s="5"/>
      <c r="B41" s="5"/>
      <c r="C41" s="5"/>
      <c r="D41" s="5"/>
      <c r="E41" s="5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5"/>
      <c r="V41" s="5"/>
      <c r="W41" s="5"/>
      <c r="X41" s="5"/>
      <c r="Y41" s="5"/>
    </row>
    <row r="42" spans="1:25" ht="15.75" customHeight="1">
      <c r="A42" s="5"/>
      <c r="B42" s="5"/>
      <c r="C42" s="5"/>
      <c r="D42" s="5"/>
      <c r="E42" s="5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5"/>
      <c r="V42" s="5"/>
      <c r="W42" s="5"/>
      <c r="X42" s="5"/>
      <c r="Y42" s="5"/>
    </row>
    <row r="43" spans="1:25" ht="15.75" customHeight="1">
      <c r="A43" s="5"/>
      <c r="B43" s="5"/>
      <c r="C43" s="5"/>
      <c r="D43" s="5"/>
      <c r="E43" s="5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5"/>
      <c r="V43" s="5"/>
      <c r="W43" s="5"/>
      <c r="X43" s="5"/>
      <c r="Y43" s="5"/>
    </row>
    <row r="44" spans="1:25" ht="15.75" customHeight="1">
      <c r="A44" s="5"/>
      <c r="B44" s="5"/>
      <c r="C44" s="5"/>
      <c r="D44" s="5"/>
      <c r="E44" s="5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5"/>
      <c r="V44" s="5"/>
      <c r="W44" s="5"/>
      <c r="X44" s="5"/>
      <c r="Y44" s="5"/>
    </row>
    <row r="45" spans="1:25" ht="15.75" customHeight="1">
      <c r="A45" s="5"/>
      <c r="B45" s="5"/>
      <c r="C45" s="5"/>
      <c r="D45" s="5"/>
      <c r="E45" s="5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5"/>
      <c r="V45" s="5"/>
      <c r="W45" s="5"/>
      <c r="X45" s="5"/>
      <c r="Y45" s="5"/>
    </row>
    <row r="46" spans="1:25" ht="15.75" customHeight="1">
      <c r="A46" s="5"/>
      <c r="B46" s="5"/>
      <c r="C46" s="5"/>
      <c r="D46" s="5"/>
      <c r="E46" s="5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5"/>
      <c r="V46" s="5"/>
      <c r="W46" s="5"/>
      <c r="X46" s="5"/>
      <c r="Y46" s="5"/>
    </row>
    <row r="47" spans="1:25" ht="15.75" customHeight="1">
      <c r="A47" s="5"/>
      <c r="B47" s="5"/>
      <c r="C47" s="5"/>
      <c r="D47" s="5"/>
      <c r="E47" s="5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5"/>
      <c r="V47" s="5"/>
      <c r="W47" s="5"/>
      <c r="X47" s="5"/>
      <c r="Y47" s="5"/>
    </row>
    <row r="48" spans="1:25" ht="15.75" customHeight="1">
      <c r="A48" s="5"/>
      <c r="B48" s="5"/>
      <c r="C48" s="5"/>
      <c r="D48" s="5"/>
      <c r="E48" s="5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5"/>
      <c r="V48" s="5"/>
      <c r="W48" s="5"/>
      <c r="X48" s="5"/>
      <c r="Y48" s="5"/>
    </row>
    <row r="49" spans="1:25" ht="15.75" customHeight="1">
      <c r="A49" s="5"/>
      <c r="B49" s="5"/>
      <c r="C49" s="5"/>
      <c r="D49" s="5"/>
      <c r="E49" s="5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5"/>
      <c r="V49" s="5"/>
      <c r="W49" s="5"/>
      <c r="X49" s="5"/>
      <c r="Y49" s="5"/>
    </row>
    <row r="50" spans="1:25" ht="15.75" customHeight="1">
      <c r="A50" s="5"/>
      <c r="B50" s="5"/>
      <c r="C50" s="5"/>
      <c r="D50" s="5"/>
      <c r="E50" s="5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5"/>
      <c r="V50" s="5"/>
      <c r="W50" s="5"/>
      <c r="X50" s="5"/>
      <c r="Y50" s="5"/>
    </row>
    <row r="51" spans="1:25" ht="15.75" customHeight="1">
      <c r="A51" s="5"/>
      <c r="B51" s="5"/>
      <c r="C51" s="5"/>
      <c r="D51" s="5"/>
      <c r="E51" s="5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5"/>
      <c r="V51" s="5"/>
      <c r="W51" s="5"/>
      <c r="X51" s="5"/>
      <c r="Y51" s="5"/>
    </row>
    <row r="52" spans="1:25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spans="1:25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spans="1:25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5546875" defaultRowHeight="1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hãy tạo 1 biểu excel từ các thô</vt:lpstr>
      <vt:lpstr>Trang tính1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hc11</dc:creator>
  <cp:lastModifiedBy>vpd</cp:lastModifiedBy>
  <cp:lastPrinted>2026-09-03T09:54:19Z</cp:lastPrinted>
  <dcterms:created xsi:type="dcterms:W3CDTF">2025-10-19T08:31:30Z</dcterms:created>
  <dcterms:modified xsi:type="dcterms:W3CDTF">2026-09-04T08:09:25Z</dcterms:modified>
</cp:coreProperties>
</file>