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TỔNG HỢP- LÀM SẠCH DỮ LIỆU ĐẤT ĐAI\"/>
    </mc:Choice>
  </mc:AlternateContent>
  <bookViews>
    <workbookView xWindow="0" yWindow="0" windowWidth="19440" windowHeight="12435" activeTab="3"/>
  </bookViews>
  <sheets>
    <sheet name="DOT 2 - 23-7" sheetId="2" r:id="rId1"/>
    <sheet name="DOT 3 - 1-8" sheetId="3" r:id="rId2"/>
    <sheet name="LỤC HS" sheetId="4" r:id="rId3"/>
    <sheet name="SCAN HS" sheetId="6" r:id="rId4"/>
    <sheet name="KHONG GIAN" sheetId="5" r:id="rId5"/>
  </sheets>
  <definedNames>
    <definedName name="_xlnm.Print_Area" localSheetId="0">'DOT 2 - 23-7'!$A$3:$G$39</definedName>
    <definedName name="_xlnm.Print_Area" localSheetId="1">'DOT 3 - 1-8'!$A$3:$G$39</definedName>
    <definedName name="_xlnm.Print_Area" localSheetId="4">'KHONG GIAN'!$C$2:$K$18</definedName>
    <definedName name="_xlnm.Print_Area" localSheetId="2">'LỤC HS'!$A$3:$I$12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8" i="3" l="1"/>
  <c r="M38" i="3"/>
  <c r="M5" i="3"/>
  <c r="N5" i="3"/>
  <c r="M7" i="3"/>
  <c r="N7" i="3"/>
  <c r="M20" i="3"/>
  <c r="N20" i="3"/>
  <c r="M21" i="3"/>
  <c r="N21" i="3"/>
  <c r="M22" i="3"/>
  <c r="N22" i="3"/>
  <c r="M25" i="3"/>
  <c r="N25" i="3"/>
  <c r="M28" i="3"/>
  <c r="N28" i="3"/>
  <c r="M33" i="3"/>
  <c r="N33" i="3"/>
  <c r="M34" i="3"/>
  <c r="N34" i="3"/>
  <c r="M35" i="3"/>
  <c r="N35" i="3"/>
  <c r="M36" i="3"/>
  <c r="N4" i="3"/>
  <c r="M4" i="3"/>
  <c r="N5" i="2" l="1"/>
  <c r="N6" i="2"/>
  <c r="N7" i="2"/>
  <c r="N8" i="2"/>
  <c r="N9" i="2"/>
  <c r="N10" i="2"/>
  <c r="N11" i="2"/>
  <c r="N12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8" i="2"/>
  <c r="N30" i="2"/>
  <c r="N32" i="2"/>
  <c r="N33" i="2"/>
  <c r="N34" i="2"/>
  <c r="N35" i="2"/>
  <c r="N36" i="2"/>
  <c r="N37" i="2"/>
  <c r="N38" i="2"/>
  <c r="N4" i="2"/>
  <c r="M4" i="2"/>
  <c r="M5" i="2"/>
  <c r="M6" i="2"/>
  <c r="M7" i="2"/>
  <c r="M8" i="2"/>
  <c r="M9" i="2"/>
  <c r="M10" i="2"/>
  <c r="M11" i="2"/>
  <c r="M12" i="2"/>
  <c r="M13" i="2"/>
  <c r="M14" i="2"/>
  <c r="M15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N39" i="2" l="1"/>
  <c r="M39" i="2"/>
  <c r="C39" i="2"/>
</calcChain>
</file>

<file path=xl/sharedStrings.xml><?xml version="1.0" encoding="utf-8"?>
<sst xmlns="http://schemas.openxmlformats.org/spreadsheetml/2006/main" count="349" uniqueCount="210">
  <si>
    <t>BẢNG THỐNG KÊ KẾT QUẢ RÀ SOÁT, PHÂN LOẠI THỪA ĐẤT CẤP TỈNH</t>
  </si>
  <si>
    <t>(Kế hoạch số 515/KH-BCA-BNNMT triển khai thực hiện chiến dịch làm giàu, làm sạch cơ sở dữ liệu (CSDL) quốc gia về đất đai)</t>
  </si>
  <si>
    <t>Số thứ tự</t>
  </si>
  <si>
    <t>Tên đơn vị hành chính cấp xã</t>
  </si>
  <si>
    <t>Phường Thủ Dầu Một</t>
  </si>
  <si>
    <t>Phường Phú Lợi</t>
  </si>
  <si>
    <t>Phường Bình Dương</t>
  </si>
  <si>
    <t>Phường Chánh Hiệp</t>
  </si>
  <si>
    <t>Phường Phú An</t>
  </si>
  <si>
    <t>Thửa đất THIẾU HS QUÉT</t>
  </si>
  <si>
    <t>NGƯỜI LÀM</t>
  </si>
  <si>
    <t>Nguyễn Thị Thùy Trang</t>
  </si>
  <si>
    <t>Nguyễn Trung Thành</t>
  </si>
  <si>
    <t>Phạm Nguyễn Lan Anh</t>
  </si>
  <si>
    <t>Phạm Thị Yến Nhi</t>
  </si>
  <si>
    <t>Trần Thị Thùy Trang</t>
  </si>
  <si>
    <t>Hoàng Minh Tú</t>
  </si>
  <si>
    <t>Trần Nguyễn Hoài Lam</t>
  </si>
  <si>
    <t>Nguyễn Thành Như Bảo</t>
  </si>
  <si>
    <t>Nguyễn Thị Ngọc Thảo</t>
  </si>
  <si>
    <t>Trần Quốc Hưng</t>
  </si>
  <si>
    <t>Trần Đình Siêu</t>
  </si>
  <si>
    <t>Tạ Nguyễn Bích Trang</t>
  </si>
  <si>
    <t>Nguyễn Thị Dáng</t>
  </si>
  <si>
    <t>Lê Sơn Thanh</t>
  </si>
  <si>
    <t>Huỳnh Thị Ái Nhi</t>
  </si>
  <si>
    <t>Nguyễn Thị Huỳnh Mai</t>
  </si>
  <si>
    <t>Nguyễn Bích Ngọc</t>
  </si>
  <si>
    <t>Nguyễn Thị Bích Tuyền</t>
  </si>
  <si>
    <t>Nguyễn Duy Tấn</t>
  </si>
  <si>
    <t>Hồ Thị Hồng Linh</t>
  </si>
  <si>
    <t>Nguyễn Hoàng Tiến</t>
  </si>
  <si>
    <t>Huỳnh Tấn Nguyên</t>
  </si>
  <si>
    <t>Nguyễn Văn Khánh</t>
  </si>
  <si>
    <t>Nguyễn Thị Thu Minh</t>
  </si>
  <si>
    <t>Nguyễn Thị Mai</t>
  </si>
  <si>
    <t>Nguyễn Thị Lệ Thu</t>
  </si>
  <si>
    <t>Nguyễn Trần Thảo Vy</t>
  </si>
  <si>
    <t>Nguyễn Thảo Tuyết Nhi</t>
  </si>
  <si>
    <t>Quản Nguyễn Thảo Nguyên</t>
  </si>
  <si>
    <t>Nguyễn Hoàng Duy</t>
  </si>
  <si>
    <t>Bùi Thị Minh Nguyệt</t>
  </si>
  <si>
    <t>TỔNG</t>
  </si>
  <si>
    <t>THIẾU HS QUÉT</t>
  </si>
  <si>
    <t>Chia số lượng</t>
  </si>
  <si>
    <t>thứ 2</t>
  </si>
  <si>
    <t>thứ 3</t>
  </si>
  <si>
    <t>thứ 4</t>
  </si>
  <si>
    <t>thứ 5</t>
  </si>
  <si>
    <t>thứ 6</t>
  </si>
  <si>
    <t>Thứ 7</t>
  </si>
  <si>
    <t>chủ nhật</t>
  </si>
  <si>
    <t>STT 1-327</t>
  </si>
  <si>
    <t>STT 328-655</t>
  </si>
  <si>
    <t>STT 656-983</t>
  </si>
  <si>
    <t>STT 984-1311</t>
  </si>
  <si>
    <t>STT 1312-1639</t>
  </si>
  <si>
    <t>STT 1640-1804 (164 thửa)</t>
  </si>
  <si>
    <t>STT 1640-1967</t>
  </si>
  <si>
    <t>STT 1968-2295</t>
  </si>
  <si>
    <t>STT 2296-2623</t>
  </si>
  <si>
    <t>STT 2624-2757 (133 thửa)</t>
  </si>
  <si>
    <t>Phan Trọng Hiệp</t>
  </si>
  <si>
    <t>STT 2624-2951</t>
  </si>
  <si>
    <t>STT 2952-3215 (263 thửa)</t>
  </si>
  <si>
    <t>Nguyễn Trang Thúy Son</t>
  </si>
  <si>
    <t>Lục + scan đưa lên VBDlis Phú An</t>
  </si>
  <si>
    <t>Nguyễn Nhật Quyền Trinh</t>
  </si>
  <si>
    <t>Đỗ Thị Yến</t>
  </si>
  <si>
    <t>Huỳnh Thành Duy</t>
  </si>
  <si>
    <t>Lý Minh Tân</t>
  </si>
  <si>
    <t>Phạm Hoàng Oanh</t>
  </si>
  <si>
    <t>Nguyễn Khánh Duy</t>
  </si>
  <si>
    <t>Nguyễn Anh Khôi</t>
  </si>
  <si>
    <t>Nguyễn Thị Mỹ Duyên</t>
  </si>
  <si>
    <t>Họ và Tên</t>
  </si>
  <si>
    <t>Lê Hoàng Xuân Đạt</t>
  </si>
  <si>
    <t>HĐTV</t>
  </si>
  <si>
    <t>(STT 837-1045)</t>
  </si>
  <si>
    <t>(STT 628-836)</t>
  </si>
  <si>
    <t xml:space="preserve"> (STT 419-627)</t>
  </si>
  <si>
    <t xml:space="preserve"> (STT 209-418)</t>
  </si>
  <si>
    <t xml:space="preserve"> (STT 1-208)</t>
  </si>
  <si>
    <t xml:space="preserve"> (STT 1046-1254)</t>
  </si>
  <si>
    <t xml:space="preserve"> (STT 1255-1463)</t>
  </si>
  <si>
    <t xml:space="preserve">  (STT 1464-1672)</t>
  </si>
  <si>
    <t xml:space="preserve"> (STT 1673-1881)</t>
  </si>
  <si>
    <t>(STT 1882 - 2090)</t>
  </si>
  <si>
    <t xml:space="preserve"> (STT 2091 - 2126) 36 thửa</t>
  </si>
  <si>
    <t>(STT 1046-1254)</t>
  </si>
  <si>
    <t>(STT 1255-1463)</t>
  </si>
  <si>
    <t xml:space="preserve"> (STT 1464-1672)</t>
  </si>
  <si>
    <t>(STT 1673-1881)</t>
  </si>
  <si>
    <t xml:space="preserve"> (STT 1882 - 2090)</t>
  </si>
  <si>
    <t xml:space="preserve"> (STT 2091 - 2148 (57 thửa)</t>
  </si>
  <si>
    <t xml:space="preserve"> (STT 628-836)</t>
  </si>
  <si>
    <t xml:space="preserve"> (STT 837-1045)</t>
  </si>
  <si>
    <t xml:space="preserve"> (STT 1046 - 1089) 43 thửa</t>
  </si>
  <si>
    <t xml:space="preserve">  (STT 209-418)</t>
  </si>
  <si>
    <t xml:space="preserve"> (STT 1046 - 1092) 46 thửa</t>
  </si>
  <si>
    <t>rà gửi lục: 66 thửa
cập nhật lên nhóm 1: 142 thửa</t>
  </si>
  <si>
    <t>rà gửi lục: 39 thửa
cập nhật lên nhóm 1: 171 thửa</t>
  </si>
  <si>
    <t>rà gửi lục: 157 thửa
cập nhật lên nhóm 1: 37 thửa</t>
  </si>
  <si>
    <t>rà gửi lục: 144 thửa
cập nhật lên nhóm 1: 65 thửa</t>
  </si>
  <si>
    <t>rà gửi lục: 91 thửa
cập nhật lên nhóm 1: 118 thửa</t>
  </si>
  <si>
    <t>rà gửi lục: 45 thửa
cập nhật lên nhóm 1: 164 thửa</t>
  </si>
  <si>
    <t>rà gửi lục: 49 thửa
cập nhật lên nhóm 1: 159 thửa</t>
  </si>
  <si>
    <t>rà gửi lục: 108 thửa
cập nhật lên nhóm 1: 46 thửa</t>
  </si>
  <si>
    <t>rà gửi lục: 214 thửa
cập nhật lên nhóm 1: 104 thửa</t>
  </si>
  <si>
    <t>rà gửi lục: 59 thửa
cập nhật lên nhóm 1: 59 thửa</t>
  </si>
  <si>
    <t>rà gửi lục: 287 thửa
cập nhật lên nhóm 1: 41 thửa</t>
  </si>
  <si>
    <t>rà gửi lục: 54 thửa
cập nhật lên nhóm 1: 9 thửa</t>
  </si>
  <si>
    <t>rà gửi lục: 48 thửa
cập nhật lên nhóm 1: 15 thửa</t>
  </si>
  <si>
    <t>rà gửi lục: 9 thửa
cập nhật lên nhóm 1: 54 thửa</t>
  </si>
  <si>
    <t>thứ 7 đến thứ 2</t>
  </si>
  <si>
    <t>rà gửi lục: 155 thửa
cập nhật lên nhóm 1: 33 thửa</t>
  </si>
  <si>
    <t>rà gửi lục: 149 thửa
cập nhật lên nhóm 1: 74 thửa</t>
  </si>
  <si>
    <t>rà gửi lục: 163 thửa
cập nhật lên nhóm 1: 45 thửa</t>
  </si>
  <si>
    <t>rà gửi lục: 17 thửa
cập nhật lên nhóm 1: 191 thửa</t>
  </si>
  <si>
    <t>Nguyễn Hoàng Xuân</t>
  </si>
  <si>
    <t>Vương Ánh Xuân</t>
  </si>
  <si>
    <t>rà gửi lục: 20 thửa
cập nhật lên nhóm 1: 75 thửa</t>
  </si>
  <si>
    <t>61 bộ</t>
  </si>
  <si>
    <t>từ thứ 7 đến thứ 2</t>
  </si>
  <si>
    <t>70 bộ</t>
  </si>
  <si>
    <t>120 bộ</t>
  </si>
  <si>
    <t>51 bộ</t>
  </si>
  <si>
    <t>rà gửi lục: 87 thửa
cập nhật lên nhóm 1: 35 thửa</t>
  </si>
  <si>
    <t>rà gửi lục: 86 thửa
cập nhật lên nhóm 1: 12 thửa</t>
  </si>
  <si>
    <t>GHI CHÚ</t>
  </si>
  <si>
    <t>CHỈNH LÝ THỬA ĐẤT THIẾU KHÔNG GIAN</t>
  </si>
  <si>
    <t>Nguyễn Tuấn Anh</t>
  </si>
  <si>
    <t>rà gửi lục: 51 thửa
cập nhật lên nhóm 1: 35 thửa</t>
  </si>
  <si>
    <t>rà gửi lục: 92 thửa
cập nhật lên nhóm 1: 117 thửa</t>
  </si>
  <si>
    <t>rà gửi lục: 134 thửa
cập nhật lên nhóm 1: 23 thửa</t>
  </si>
  <si>
    <t>rà gửi lục: 135 thửa
cập nhật lên nhóm 1: 22 thửa</t>
  </si>
  <si>
    <t>rà gửi lục: 25 thửa
cập nhật lên nhóm 1: 183 thửa</t>
  </si>
  <si>
    <t>rà gửi lục: 25 thửa
cập nhật lên nhóm 1: 11 thửa</t>
  </si>
  <si>
    <t xml:space="preserve">rà gửi lục: 43 thửa
</t>
  </si>
  <si>
    <t>rà gửi lục: 2 thửa
cập nhật lên nhóm 1: 55 thửa</t>
  </si>
  <si>
    <t>rà gửi lục: 6 thửa
cập nhật lên nhóm 1: 40 thửa</t>
  </si>
  <si>
    <t xml:space="preserve">rà gửi lục: 208 thửa
</t>
  </si>
  <si>
    <t>rà gửi lục: 33 thửa
cập nhật lên nhóm 1: 33 thửa</t>
  </si>
  <si>
    <t>LỤC HỒ SƠ</t>
  </si>
  <si>
    <t>SCAN HỒ SƠ</t>
  </si>
  <si>
    <t>rà gửi lục: 43 thửa
cập nhật lên nhóm 1: 102 thửa</t>
  </si>
  <si>
    <t xml:space="preserve">rà gửi lục: 60 thửa
</t>
  </si>
  <si>
    <t xml:space="preserve">rà gửi lục: 94 thửa
</t>
  </si>
  <si>
    <t>Nguyễn Trang Thúy Son (HĐTV)</t>
  </si>
  <si>
    <t>cập nhật lên nhóm 1: 94 thửa</t>
  </si>
  <si>
    <t>rà gửi lục: 26 thửa
cập nhật lên nhóm 1: 183 thửa</t>
  </si>
  <si>
    <t>rà gửi lục: 31 thửa
cập nhật lên nhóm 1: 21 thửa</t>
  </si>
  <si>
    <t xml:space="preserve">rà gửi lục: 95 thửa
</t>
  </si>
  <si>
    <t>rà gửi lục: 62 thửa
cập nhật lên nhóm 1: 146 thửa</t>
  </si>
  <si>
    <t>rà gửi lục: 86 thửa
cập nhật lên nhóm 1: 718 thửa</t>
  </si>
  <si>
    <t xml:space="preserve">rà gửi lục: 114 thửa
cập nhật lên nhóm 1: 95 thửa </t>
  </si>
  <si>
    <t>rà gửi lục: 72 thửa
cập nhật lên nhóm 1: 12 thửa</t>
  </si>
  <si>
    <t>rà gửi lục: 80 thửa
cập nhật lên nhóm 1: 15 thửa</t>
  </si>
  <si>
    <t>rà gửi lục: 71 thửa
cập nhật lên nhóm 1: 127 thửa</t>
  </si>
  <si>
    <t xml:space="preserve"> rà gửi lục</t>
  </si>
  <si>
    <t>cập nhật lên nhóm 1</t>
  </si>
  <si>
    <t>Tổng gửi lục: 2657 thửa và 3451 thửa đã lên từ nhóm 1</t>
  </si>
  <si>
    <t>TỔNG: GỬI LỤC:  1310 thửa và cập nhật lên nhóm 1 435 thửa</t>
  </si>
  <si>
    <t>rà gửi lục: 29 thửa
cập nhật lên nhóm 1: 32 thửa</t>
  </si>
  <si>
    <t>rà gửi lục: 59 thửa
cập nhật lên nhóm 1: 3 thửa</t>
  </si>
  <si>
    <t>rà gửi lục: 19 thửa
cập nhật lên nhóm 1: 46 thửa</t>
  </si>
  <si>
    <t>rà gửi lục: 56 thửa
cập nhật lên nhóm 1: 7 thửa</t>
  </si>
  <si>
    <t>rà gửi lục: 48 thửa
cập nhật lên nhóm 1: 17 thửa</t>
  </si>
  <si>
    <t>rà gửi lục: 38 thửa
cập nhật lên nhóm 1: 24 thửa</t>
  </si>
  <si>
    <t>cập nhật lên nhóm 1: 77 thửa</t>
  </si>
  <si>
    <t>rà gửi lục: 87 thửa
cập nhật lên nhóm 1: 14 thửa</t>
  </si>
  <si>
    <t>rà gửi lục: 76 thửa
cập nhật lên nhóm 1: 11 thửa</t>
  </si>
  <si>
    <t xml:space="preserve">rà gửi lục: 122 thửa
</t>
  </si>
  <si>
    <t>rà gửi lục: 126 thửa
cập nhật lên nhóm 1: 57 thửa</t>
  </si>
  <si>
    <t>rà gửi lục: 16 thửa
cập nhật lên nhóm 1: 23 thửa</t>
  </si>
  <si>
    <t xml:space="preserve">rà gửi lục: 15 thửa
</t>
  </si>
  <si>
    <t>rà gửi lục: 7 thửa
cập nhật lên nhóm 1: 13 thửa</t>
  </si>
  <si>
    <t>đã rà hết chờ kho lục</t>
  </si>
  <si>
    <t xml:space="preserve">rà gửi lục: 82 thửa
</t>
  </si>
  <si>
    <t xml:space="preserve">rà gửi lục: 12 thửa
</t>
  </si>
  <si>
    <t>rà gửi lục: 8 thửa
cập nhật lên nhóm 1: 14 thửa</t>
  </si>
  <si>
    <t>rà gửi lục: 101 thửa
cập nhật lên nhóm 1: 211 thửa</t>
  </si>
  <si>
    <t xml:space="preserve">
cập nhật lên nhóm 1: 35 thửa</t>
  </si>
  <si>
    <t xml:space="preserve">
cập nhật lên nhóm 1: 101 thửa</t>
  </si>
  <si>
    <t>STT 2624-2661 (38 thửa)</t>
  </si>
  <si>
    <t>cập nhật lên nhóm 1: 38 thửa (xong)</t>
  </si>
  <si>
    <t xml:space="preserve">rà gửi lục: 20 thửa
</t>
  </si>
  <si>
    <t>rà gửi lục: 240 thửa
cập nhật lên nhóm 1: 23 thửa</t>
  </si>
  <si>
    <t>cập nhật lên nhóm 1: 30 thửa</t>
  </si>
  <si>
    <t>rà gửi lục: 7 thửa
cập nhật lên nhóm 1: 15 thửa</t>
  </si>
  <si>
    <t>rà gửi lục: 53 thửa
cập nhật lên nhóm 1: 55 thửa</t>
  </si>
  <si>
    <t>Chia số lượng chia ngày 23-7 
Rà soát danh sách thửa đất theo Kế hoạch 9999</t>
  </si>
  <si>
    <t>THỐNG KÊ LỤC HỒ SƠ KHO</t>
  </si>
  <si>
    <t>BÁO CÁO HÀNG NGÀY</t>
  </si>
  <si>
    <t>Nhiệm vụ phân công</t>
  </si>
  <si>
    <t>đã lục giao lên scan</t>
  </si>
  <si>
    <t>chưa lục được (kho không có, sai hồ sơ,…)</t>
  </si>
  <si>
    <t xml:space="preserve">TỔNG Danh sách kho nhận: 4371 hs </t>
  </si>
  <si>
    <t>đã scan HS từ kho lục lên</t>
  </si>
  <si>
    <t>chưa scan</t>
  </si>
  <si>
    <t>nhận hồ sơ từ kho:….</t>
  </si>
  <si>
    <t xml:space="preserve">5 PHƯỜNG </t>
  </si>
  <si>
    <t>Thủ Dầu Một</t>
  </si>
  <si>
    <t>Bình Dương</t>
  </si>
  <si>
    <t>Phú Lợi</t>
  </si>
  <si>
    <t xml:space="preserve">Chánh Hiệp </t>
  </si>
  <si>
    <t>Phú An</t>
  </si>
  <si>
    <t>TỔNG SỐ LƯỢNG THIẾU KO GIAN</t>
  </si>
  <si>
    <t>Ân Văn Tuấn</t>
  </si>
  <si>
    <t xml:space="preserve">TỔNG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</si>
</sst>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2"/>
      <color rgb="FFFF0000"/>
      <name val="Calibri"/>
      <family val="2"/>
      <scheme val="minor"/>
    </font>
    <font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4"/>
      <color theme="1"/>
      <name val="Calibri"/>
      <family val="2"/>
      <scheme val="minor"/>
    </font>
    <font>
      <sz val="14"/>
      <color rgb="FF081B3A"/>
      <name val="Times New Roman"/>
      <family val="1"/>
    </font>
    <font>
      <b/>
      <sz val="12"/>
      <name val="Times New Roman"/>
      <family val="1"/>
    </font>
    <font>
      <b/>
      <sz val="32"/>
      <color rgb="FFEF4444"/>
      <name val="Arial"/>
      <family val="2"/>
    </font>
    <font>
      <b/>
      <sz val="14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sz val="13"/>
      <color theme="1"/>
      <name val="Times New Roman"/>
      <family val="1"/>
    </font>
    <font>
      <sz val="11"/>
      <name val="Calibri"/>
      <family val="2"/>
    </font>
    <font>
      <b/>
      <sz val="14"/>
      <color rgb="FFEF444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AFC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7" fillId="0" borderId="0"/>
  </cellStyleXfs>
  <cellXfs count="14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/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0" xfId="0" applyFont="1"/>
    <xf numFmtId="0" fontId="8" fillId="0" borderId="10" xfId="0" applyFont="1" applyBorder="1" applyAlignment="1">
      <alignment horizontal="center" vertical="center"/>
    </xf>
    <xf numFmtId="0" fontId="0" fillId="0" borderId="2" xfId="0" applyBorder="1"/>
    <xf numFmtId="0" fontId="10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3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11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2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7" fillId="0" borderId="2" xfId="0" applyFont="1" applyBorder="1"/>
    <xf numFmtId="0" fontId="8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14" fillId="0" borderId="2" xfId="0" applyFont="1" applyBorder="1"/>
    <xf numFmtId="0" fontId="7" fillId="0" borderId="2" xfId="0" applyFont="1" applyBorder="1" applyAlignment="1">
      <alignment horizontal="left" vertical="center"/>
    </xf>
    <xf numFmtId="0" fontId="19" fillId="0" borderId="2" xfId="0" applyFont="1" applyBorder="1"/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0" fontId="6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9" fillId="0" borderId="28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>
      <alignment vertical="center" wrapText="1"/>
    </xf>
    <xf numFmtId="0" fontId="15" fillId="0" borderId="2" xfId="0" applyFont="1" applyBorder="1"/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2" fillId="0" borderId="16" xfId="0" applyFont="1" applyBorder="1" applyAlignment="1">
      <alignment horizontal="center" vertical="center"/>
    </xf>
    <xf numFmtId="0" fontId="11" fillId="0" borderId="2" xfId="0" applyFont="1" applyBorder="1"/>
    <xf numFmtId="0" fontId="21" fillId="0" borderId="2" xfId="0" applyFont="1" applyBorder="1" applyAlignment="1">
      <alignment horizontal="left"/>
    </xf>
    <xf numFmtId="0" fontId="22" fillId="0" borderId="2" xfId="0" applyFont="1" applyBorder="1"/>
    <xf numFmtId="0" fontId="13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/>
    </xf>
    <xf numFmtId="0" fontId="10" fillId="0" borderId="9" xfId="0" applyFont="1" applyFill="1" applyBorder="1" applyAlignment="1">
      <alignment horizontal="center" vertical="center" wrapText="1"/>
    </xf>
    <xf numFmtId="0" fontId="11" fillId="0" borderId="0" xfId="0" applyFont="1"/>
    <xf numFmtId="0" fontId="15" fillId="0" borderId="0" xfId="0" applyFont="1"/>
    <xf numFmtId="0" fontId="23" fillId="0" borderId="0" xfId="0" applyFont="1" applyAlignment="1">
      <alignment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/>
    </xf>
    <xf numFmtId="0" fontId="16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left" vertical="top" wrapText="1"/>
    </xf>
    <xf numFmtId="0" fontId="1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22" fillId="2" borderId="36" xfId="0" applyFont="1" applyFill="1" applyBorder="1" applyAlignment="1">
      <alignment horizontal="left" vertical="top" wrapText="1"/>
    </xf>
    <xf numFmtId="0" fontId="11" fillId="0" borderId="3" xfId="0" applyFont="1" applyBorder="1" applyAlignment="1">
      <alignment horizontal="center" vertical="center"/>
    </xf>
    <xf numFmtId="0" fontId="19" fillId="2" borderId="35" xfId="0" applyFont="1" applyFill="1" applyBorder="1" applyAlignment="1">
      <alignment horizontal="left" vertical="top" wrapText="1"/>
    </xf>
    <xf numFmtId="0" fontId="11" fillId="0" borderId="1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9" fillId="2" borderId="35" xfId="0" applyFont="1" applyFill="1" applyBorder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29" xfId="0" applyFont="1" applyFill="1" applyBorder="1" applyAlignment="1">
      <alignment horizontal="center" vertical="center"/>
    </xf>
    <xf numFmtId="0" fontId="11" fillId="0" borderId="34" xfId="0" applyFont="1" applyFill="1" applyBorder="1" applyAlignment="1">
      <alignment horizontal="center" vertical="center"/>
    </xf>
    <xf numFmtId="0" fontId="24" fillId="0" borderId="37" xfId="0" applyFont="1" applyBorder="1" applyAlignment="1"/>
    <xf numFmtId="0" fontId="2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24" fillId="3" borderId="24" xfId="0" applyFont="1" applyFill="1" applyBorder="1" applyAlignment="1">
      <alignment vertical="center"/>
    </xf>
    <xf numFmtId="0" fontId="1" fillId="3" borderId="0" xfId="0" applyFont="1" applyFill="1"/>
    <xf numFmtId="0" fontId="7" fillId="0" borderId="0" xfId="0" applyFont="1"/>
    <xf numFmtId="0" fontId="22" fillId="2" borderId="38" xfId="0" applyFont="1" applyFill="1" applyBorder="1" applyAlignment="1">
      <alignment horizontal="left" vertical="top" wrapText="1"/>
    </xf>
    <xf numFmtId="0" fontId="22" fillId="2" borderId="35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" fontId="11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40" xfId="0" applyFont="1" applyFill="1" applyBorder="1" applyAlignment="1">
      <alignment horizontal="center" vertical="center"/>
    </xf>
    <xf numFmtId="0" fontId="11" fillId="0" borderId="2" xfId="0" applyFont="1" applyBorder="1" applyAlignment="1"/>
    <xf numFmtId="0" fontId="16" fillId="0" borderId="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8" fillId="4" borderId="39" xfId="1" applyFont="1" applyFill="1" applyBorder="1" applyAlignment="1">
      <alignment horizontal="center" vertical="center"/>
    </xf>
    <xf numFmtId="0" fontId="28" fillId="0" borderId="29" xfId="1" applyFont="1" applyBorder="1" applyAlignment="1">
      <alignment horizontal="center" vertical="center"/>
    </xf>
    <xf numFmtId="0" fontId="28" fillId="0" borderId="34" xfId="1" applyFont="1" applyBorder="1" applyAlignment="1">
      <alignment horizontal="center" vertical="center"/>
    </xf>
    <xf numFmtId="1" fontId="11" fillId="0" borderId="3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/>
    </xf>
    <xf numFmtId="1" fontId="11" fillId="0" borderId="33" xfId="0" applyNumberFormat="1" applyFont="1" applyBorder="1" applyAlignment="1">
      <alignment horizontal="center"/>
    </xf>
    <xf numFmtId="0" fontId="11" fillId="0" borderId="43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0" fontId="11" fillId="0" borderId="44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zoomScale="70" zoomScaleNormal="70" workbookViewId="0">
      <selection activeCell="E17" sqref="E17"/>
    </sheetView>
  </sheetViews>
  <sheetFormatPr defaultRowHeight="15" x14ac:dyDescent="0.25"/>
  <cols>
    <col min="2" max="2" width="23.7109375" customWidth="1"/>
    <col min="3" max="3" width="21.28515625" customWidth="1"/>
    <col min="4" max="4" width="32.28515625" customWidth="1"/>
    <col min="5" max="5" width="36.85546875" customWidth="1"/>
    <col min="6" max="6" width="33.5703125" customWidth="1"/>
    <col min="7" max="7" width="29.85546875" customWidth="1"/>
    <col min="8" max="8" width="16.28515625" customWidth="1"/>
    <col min="9" max="9" width="15.42578125" customWidth="1"/>
    <col min="10" max="10" width="14.85546875" customWidth="1"/>
    <col min="11" max="11" width="12.28515625" customWidth="1"/>
    <col min="12" max="12" width="13.7109375" customWidth="1"/>
    <col min="14" max="14" width="13.85546875" customWidth="1"/>
  </cols>
  <sheetData>
    <row r="1" spans="1:14" ht="18.75" x14ac:dyDescent="0.25">
      <c r="A1" s="74" t="s">
        <v>0</v>
      </c>
      <c r="B1" s="74"/>
      <c r="C1" s="74"/>
      <c r="D1" s="74"/>
      <c r="E1" s="74"/>
      <c r="F1" s="1"/>
      <c r="G1" s="1"/>
    </row>
    <row r="2" spans="1:14" ht="15.75" x14ac:dyDescent="0.25">
      <c r="A2" s="75" t="s">
        <v>1</v>
      </c>
      <c r="B2" s="75"/>
      <c r="C2" s="75"/>
      <c r="D2" s="75"/>
      <c r="E2" s="75"/>
      <c r="F2" s="2"/>
      <c r="G2" s="2"/>
      <c r="H2" s="2"/>
    </row>
    <row r="3" spans="1:14" ht="69.75" customHeight="1" thickBot="1" x14ac:dyDescent="0.35">
      <c r="A3" s="13" t="s">
        <v>2</v>
      </c>
      <c r="B3" s="13" t="s">
        <v>3</v>
      </c>
      <c r="C3" s="14" t="s">
        <v>9</v>
      </c>
      <c r="D3" s="3" t="s">
        <v>10</v>
      </c>
      <c r="E3" s="3" t="s">
        <v>191</v>
      </c>
      <c r="F3" s="29" t="s">
        <v>114</v>
      </c>
      <c r="G3" s="29" t="s">
        <v>46</v>
      </c>
      <c r="H3" s="29" t="s">
        <v>47</v>
      </c>
      <c r="I3" s="29" t="s">
        <v>48</v>
      </c>
      <c r="J3" s="29" t="s">
        <v>49</v>
      </c>
      <c r="K3" s="29" t="s">
        <v>50</v>
      </c>
      <c r="L3" s="29" t="s">
        <v>51</v>
      </c>
      <c r="M3" s="65" t="s">
        <v>159</v>
      </c>
      <c r="N3" s="65" t="s">
        <v>160</v>
      </c>
    </row>
    <row r="4" spans="1:14" ht="39" customHeight="1" x14ac:dyDescent="0.25">
      <c r="A4" s="4">
        <v>1</v>
      </c>
      <c r="B4" s="76" t="s">
        <v>4</v>
      </c>
      <c r="C4" s="79">
        <v>2126</v>
      </c>
      <c r="D4" s="15" t="s">
        <v>11</v>
      </c>
      <c r="E4" s="5" t="s">
        <v>82</v>
      </c>
      <c r="F4" s="51" t="s">
        <v>100</v>
      </c>
      <c r="G4" s="51" t="s">
        <v>177</v>
      </c>
      <c r="H4" s="32"/>
      <c r="I4" s="32"/>
      <c r="J4" s="32"/>
      <c r="K4" s="32"/>
      <c r="L4" s="32"/>
      <c r="M4">
        <f>VALUE(MID(F4, FIND("rà gửi lục:", F4) + LEN("rà gửi lục: "), FIND("thửa", F4, FIND("rà gửi lục:", F4)) - (FIND("rà gửi lục:", F4) + LEN("rà gửi lục: "))))</f>
        <v>66</v>
      </c>
      <c r="N4">
        <f>VALUE(MID(F4, FIND("cập nhật lên nhóm 1:", F4) + LEN("cập nhật lên nhóm 1: "), FIND("thửa", F4, FIND("cập nhật lên nhóm 1:", F4)) - (FIND("cập nhật lên nhóm 1:", F4) + LEN("cập nhật lên nhóm 1: "))))</f>
        <v>142</v>
      </c>
    </row>
    <row r="5" spans="1:14" ht="46.5" customHeight="1" x14ac:dyDescent="0.25">
      <c r="A5" s="4">
        <v>2</v>
      </c>
      <c r="B5" s="77"/>
      <c r="C5" s="80"/>
      <c r="D5" s="16" t="s">
        <v>12</v>
      </c>
      <c r="E5" s="6" t="s">
        <v>81</v>
      </c>
      <c r="F5" s="51" t="s">
        <v>101</v>
      </c>
      <c r="G5" s="51" t="s">
        <v>177</v>
      </c>
      <c r="H5" s="32"/>
      <c r="I5" s="32"/>
      <c r="J5" s="32"/>
      <c r="K5" s="32"/>
      <c r="L5" s="32"/>
      <c r="M5">
        <f t="shared" ref="M5:M38" si="0">VALUE(MID(F5, FIND("rà gửi lục:", F5) + LEN("rà gửi lục: "), FIND("thửa", F5, FIND("rà gửi lục:", F5)) - (FIND("rà gửi lục:", F5) + LEN("rà gửi lục: "))))</f>
        <v>39</v>
      </c>
      <c r="N5">
        <f t="shared" ref="N5:N38" si="1">VALUE(MID(F5, FIND("cập nhật lên nhóm 1:", F5) + LEN("cập nhật lên nhóm 1: "), FIND("thửa", F5, FIND("cập nhật lên nhóm 1:", F5)) - (FIND("cập nhật lên nhóm 1:", F5) + LEN("cập nhật lên nhóm 1: "))))</f>
        <v>171</v>
      </c>
    </row>
    <row r="6" spans="1:14" ht="31.5" x14ac:dyDescent="0.25">
      <c r="A6" s="4">
        <v>3</v>
      </c>
      <c r="B6" s="77"/>
      <c r="C6" s="80"/>
      <c r="D6" s="16" t="s">
        <v>13</v>
      </c>
      <c r="E6" s="6" t="s">
        <v>80</v>
      </c>
      <c r="F6" s="51" t="s">
        <v>121</v>
      </c>
      <c r="G6" s="51" t="s">
        <v>186</v>
      </c>
      <c r="H6" s="32"/>
      <c r="I6" s="32"/>
      <c r="J6" s="32"/>
      <c r="K6" s="32"/>
      <c r="L6" s="32"/>
      <c r="M6">
        <f t="shared" si="0"/>
        <v>20</v>
      </c>
      <c r="N6">
        <f t="shared" si="1"/>
        <v>75</v>
      </c>
    </row>
    <row r="7" spans="1:14" ht="31.5" x14ac:dyDescent="0.25">
      <c r="A7" s="4">
        <v>4</v>
      </c>
      <c r="B7" s="77"/>
      <c r="C7" s="80"/>
      <c r="D7" s="16" t="s">
        <v>14</v>
      </c>
      <c r="E7" s="6" t="s">
        <v>79</v>
      </c>
      <c r="F7" s="51" t="s">
        <v>102</v>
      </c>
      <c r="G7" s="51" t="s">
        <v>177</v>
      </c>
      <c r="H7" s="32"/>
      <c r="I7" s="32"/>
      <c r="J7" s="32"/>
      <c r="K7" s="32"/>
      <c r="L7" s="32"/>
      <c r="M7">
        <f t="shared" si="0"/>
        <v>157</v>
      </c>
      <c r="N7">
        <f t="shared" si="1"/>
        <v>37</v>
      </c>
    </row>
    <row r="8" spans="1:14" ht="31.5" x14ac:dyDescent="0.25">
      <c r="A8" s="4">
        <v>5</v>
      </c>
      <c r="B8" s="77"/>
      <c r="C8" s="80"/>
      <c r="D8" s="16" t="s">
        <v>15</v>
      </c>
      <c r="E8" s="6" t="s">
        <v>78</v>
      </c>
      <c r="F8" s="51" t="s">
        <v>155</v>
      </c>
      <c r="G8" s="51" t="s">
        <v>178</v>
      </c>
      <c r="H8" s="32"/>
      <c r="I8" s="32"/>
      <c r="J8" s="32"/>
      <c r="K8" s="32"/>
      <c r="L8" s="32"/>
      <c r="M8">
        <f t="shared" si="0"/>
        <v>114</v>
      </c>
      <c r="N8">
        <f t="shared" si="1"/>
        <v>95</v>
      </c>
    </row>
    <row r="9" spans="1:14" ht="31.5" x14ac:dyDescent="0.25">
      <c r="A9" s="4">
        <v>6</v>
      </c>
      <c r="B9" s="77"/>
      <c r="C9" s="80"/>
      <c r="D9" s="16" t="s">
        <v>16</v>
      </c>
      <c r="E9" s="6" t="s">
        <v>83</v>
      </c>
      <c r="F9" s="51" t="s">
        <v>133</v>
      </c>
      <c r="G9" s="51" t="s">
        <v>179</v>
      </c>
      <c r="H9" s="32"/>
      <c r="I9" s="32"/>
      <c r="J9" s="32"/>
      <c r="K9" s="32"/>
      <c r="L9" s="32"/>
      <c r="M9">
        <f t="shared" si="0"/>
        <v>92</v>
      </c>
      <c r="N9">
        <f t="shared" si="1"/>
        <v>117</v>
      </c>
    </row>
    <row r="10" spans="1:14" ht="31.5" x14ac:dyDescent="0.25">
      <c r="A10" s="4">
        <v>7</v>
      </c>
      <c r="B10" s="77"/>
      <c r="C10" s="80"/>
      <c r="D10" s="16" t="s">
        <v>17</v>
      </c>
      <c r="E10" s="6" t="s">
        <v>84</v>
      </c>
      <c r="F10" s="51" t="s">
        <v>103</v>
      </c>
      <c r="G10" s="51" t="s">
        <v>177</v>
      </c>
      <c r="H10" s="32"/>
      <c r="I10" s="32"/>
      <c r="J10" s="32"/>
      <c r="K10" s="32"/>
      <c r="L10" s="32"/>
      <c r="M10">
        <f t="shared" si="0"/>
        <v>144</v>
      </c>
      <c r="N10">
        <f t="shared" si="1"/>
        <v>65</v>
      </c>
    </row>
    <row r="11" spans="1:14" ht="31.5" x14ac:dyDescent="0.25">
      <c r="A11" s="4">
        <v>8</v>
      </c>
      <c r="B11" s="77"/>
      <c r="C11" s="80"/>
      <c r="D11" s="16" t="s">
        <v>18</v>
      </c>
      <c r="E11" s="17" t="s">
        <v>85</v>
      </c>
      <c r="F11" s="51" t="s">
        <v>104</v>
      </c>
      <c r="G11" s="51" t="s">
        <v>177</v>
      </c>
      <c r="H11" s="32"/>
      <c r="I11" s="32"/>
      <c r="J11" s="32"/>
      <c r="K11" s="32"/>
      <c r="L11" s="32"/>
      <c r="M11">
        <f t="shared" si="0"/>
        <v>91</v>
      </c>
      <c r="N11">
        <f t="shared" si="1"/>
        <v>118</v>
      </c>
    </row>
    <row r="12" spans="1:14" ht="31.5" x14ac:dyDescent="0.25">
      <c r="A12" s="4">
        <v>9</v>
      </c>
      <c r="B12" s="77"/>
      <c r="C12" s="80"/>
      <c r="D12" s="16" t="s">
        <v>19</v>
      </c>
      <c r="E12" s="8" t="s">
        <v>86</v>
      </c>
      <c r="F12" s="51" t="s">
        <v>105</v>
      </c>
      <c r="G12" s="51" t="s">
        <v>177</v>
      </c>
      <c r="H12" s="53"/>
      <c r="I12" s="53"/>
      <c r="J12" s="53"/>
      <c r="K12" s="53"/>
      <c r="L12" s="53"/>
      <c r="M12">
        <f t="shared" si="0"/>
        <v>45</v>
      </c>
      <c r="N12">
        <f t="shared" si="1"/>
        <v>164</v>
      </c>
    </row>
    <row r="13" spans="1:14" ht="31.5" x14ac:dyDescent="0.25">
      <c r="A13" s="4">
        <v>10</v>
      </c>
      <c r="B13" s="77"/>
      <c r="C13" s="80"/>
      <c r="D13" s="16" t="s">
        <v>20</v>
      </c>
      <c r="E13" s="60" t="s">
        <v>87</v>
      </c>
      <c r="F13" s="51" t="s">
        <v>146</v>
      </c>
      <c r="G13" s="51"/>
      <c r="H13" s="53"/>
      <c r="I13" s="53"/>
      <c r="J13" s="53"/>
      <c r="K13" s="53"/>
      <c r="L13" s="53"/>
      <c r="M13">
        <f t="shared" si="0"/>
        <v>60</v>
      </c>
    </row>
    <row r="14" spans="1:14" ht="37.5" customHeight="1" thickBot="1" x14ac:dyDescent="0.3">
      <c r="A14" s="4">
        <v>11</v>
      </c>
      <c r="B14" s="77"/>
      <c r="C14" s="80"/>
      <c r="D14" s="18" t="s">
        <v>21</v>
      </c>
      <c r="E14" s="61" t="s">
        <v>88</v>
      </c>
      <c r="F14" s="51" t="s">
        <v>137</v>
      </c>
      <c r="G14" s="51" t="s">
        <v>177</v>
      </c>
      <c r="H14" s="53"/>
      <c r="I14" s="53"/>
      <c r="J14" s="53"/>
      <c r="K14" s="53"/>
      <c r="L14" s="53"/>
      <c r="M14">
        <f t="shared" si="0"/>
        <v>25</v>
      </c>
      <c r="N14">
        <f t="shared" si="1"/>
        <v>11</v>
      </c>
    </row>
    <row r="15" spans="1:14" ht="36.75" customHeight="1" x14ac:dyDescent="0.25">
      <c r="A15" s="4">
        <v>12</v>
      </c>
      <c r="B15" s="82" t="s">
        <v>5</v>
      </c>
      <c r="C15" s="85">
        <v>2148</v>
      </c>
      <c r="D15" s="19" t="s">
        <v>22</v>
      </c>
      <c r="E15" s="5" t="s">
        <v>82</v>
      </c>
      <c r="F15" s="51" t="s">
        <v>145</v>
      </c>
      <c r="G15" s="51" t="s">
        <v>174</v>
      </c>
      <c r="H15" s="51"/>
      <c r="I15" s="51"/>
      <c r="J15" s="51"/>
      <c r="K15" s="51"/>
      <c r="L15" s="51"/>
      <c r="M15">
        <f t="shared" si="0"/>
        <v>43</v>
      </c>
      <c r="N15">
        <f t="shared" si="1"/>
        <v>102</v>
      </c>
    </row>
    <row r="16" spans="1:14" ht="30.75" customHeight="1" x14ac:dyDescent="0.25">
      <c r="A16" s="4">
        <v>13</v>
      </c>
      <c r="B16" s="83"/>
      <c r="C16" s="86"/>
      <c r="D16" s="20" t="s">
        <v>23</v>
      </c>
      <c r="E16" s="6" t="s">
        <v>81</v>
      </c>
      <c r="F16" s="51" t="s">
        <v>149</v>
      </c>
      <c r="G16" s="51" t="s">
        <v>169</v>
      </c>
      <c r="H16" s="51"/>
      <c r="I16" s="51"/>
      <c r="J16" s="51"/>
      <c r="K16" s="51"/>
      <c r="L16" s="51"/>
      <c r="N16">
        <f t="shared" si="1"/>
        <v>94</v>
      </c>
    </row>
    <row r="17" spans="1:14" ht="38.25" customHeight="1" x14ac:dyDescent="0.25">
      <c r="A17" s="4">
        <v>14</v>
      </c>
      <c r="B17" s="83"/>
      <c r="C17" s="86"/>
      <c r="D17" s="20" t="s">
        <v>24</v>
      </c>
      <c r="E17" s="6" t="s">
        <v>80</v>
      </c>
      <c r="F17" s="51" t="s">
        <v>157</v>
      </c>
      <c r="G17" s="51" t="s">
        <v>171</v>
      </c>
      <c r="H17" s="51"/>
      <c r="I17" s="51"/>
      <c r="J17" s="51"/>
      <c r="K17" s="51"/>
      <c r="L17" s="51"/>
      <c r="M17">
        <f t="shared" si="0"/>
        <v>80</v>
      </c>
      <c r="N17">
        <f t="shared" si="1"/>
        <v>15</v>
      </c>
    </row>
    <row r="18" spans="1:14" ht="31.5" x14ac:dyDescent="0.25">
      <c r="A18" s="4">
        <v>15</v>
      </c>
      <c r="B18" s="83"/>
      <c r="C18" s="86"/>
      <c r="D18" s="20" t="s">
        <v>25</v>
      </c>
      <c r="E18" s="6" t="s">
        <v>79</v>
      </c>
      <c r="F18" s="50" t="s">
        <v>156</v>
      </c>
      <c r="G18" s="50" t="s">
        <v>170</v>
      </c>
      <c r="H18" s="32"/>
      <c r="I18" s="32"/>
      <c r="J18" s="32"/>
      <c r="K18" s="32"/>
      <c r="L18" s="32"/>
      <c r="M18">
        <f t="shared" si="0"/>
        <v>72</v>
      </c>
      <c r="N18">
        <f t="shared" si="1"/>
        <v>12</v>
      </c>
    </row>
    <row r="19" spans="1:14" ht="31.5" x14ac:dyDescent="0.25">
      <c r="A19" s="4">
        <v>16</v>
      </c>
      <c r="B19" s="83"/>
      <c r="C19" s="86"/>
      <c r="D19" s="20" t="s">
        <v>26</v>
      </c>
      <c r="E19" s="6" t="s">
        <v>78</v>
      </c>
      <c r="F19" s="51" t="s">
        <v>134</v>
      </c>
      <c r="G19" s="32"/>
      <c r="H19" s="32"/>
      <c r="I19" s="32"/>
      <c r="J19" s="32"/>
      <c r="K19" s="32"/>
      <c r="L19" s="32"/>
      <c r="M19">
        <f t="shared" si="0"/>
        <v>134</v>
      </c>
      <c r="N19">
        <f t="shared" si="1"/>
        <v>23</v>
      </c>
    </row>
    <row r="20" spans="1:14" ht="34.5" customHeight="1" x14ac:dyDescent="0.25">
      <c r="A20" s="4">
        <v>17</v>
      </c>
      <c r="B20" s="83"/>
      <c r="C20" s="86"/>
      <c r="D20" s="20" t="s">
        <v>27</v>
      </c>
      <c r="E20" s="6" t="s">
        <v>89</v>
      </c>
      <c r="F20" s="51" t="s">
        <v>135</v>
      </c>
      <c r="G20" s="32"/>
      <c r="H20" s="32"/>
      <c r="I20" s="32"/>
      <c r="J20" s="32"/>
      <c r="K20" s="32"/>
      <c r="L20" s="32"/>
      <c r="M20">
        <f t="shared" si="0"/>
        <v>135</v>
      </c>
      <c r="N20">
        <f t="shared" si="1"/>
        <v>22</v>
      </c>
    </row>
    <row r="21" spans="1:14" ht="31.5" x14ac:dyDescent="0.25">
      <c r="A21" s="4">
        <v>18</v>
      </c>
      <c r="B21" s="83"/>
      <c r="C21" s="86"/>
      <c r="D21" s="20" t="s">
        <v>28</v>
      </c>
      <c r="E21" s="21" t="s">
        <v>90</v>
      </c>
      <c r="F21" s="51" t="s">
        <v>153</v>
      </c>
      <c r="G21" s="51" t="s">
        <v>177</v>
      </c>
      <c r="H21" s="32"/>
      <c r="I21" s="32"/>
      <c r="J21" s="32"/>
      <c r="K21" s="32"/>
      <c r="L21" s="32"/>
      <c r="M21">
        <f t="shared" si="0"/>
        <v>62</v>
      </c>
      <c r="N21">
        <f t="shared" si="1"/>
        <v>146</v>
      </c>
    </row>
    <row r="22" spans="1:14" ht="31.5" x14ac:dyDescent="0.25">
      <c r="A22" s="4">
        <v>19</v>
      </c>
      <c r="B22" s="83"/>
      <c r="C22" s="86"/>
      <c r="D22" s="20" t="s">
        <v>29</v>
      </c>
      <c r="E22" s="6" t="s">
        <v>91</v>
      </c>
      <c r="F22" s="51" t="s">
        <v>136</v>
      </c>
      <c r="G22" s="51" t="s">
        <v>177</v>
      </c>
      <c r="H22" s="32"/>
      <c r="I22" s="32"/>
      <c r="J22" s="32"/>
      <c r="K22" s="32"/>
      <c r="L22" s="32"/>
      <c r="M22">
        <f t="shared" si="0"/>
        <v>25</v>
      </c>
      <c r="N22">
        <f t="shared" si="1"/>
        <v>183</v>
      </c>
    </row>
    <row r="23" spans="1:14" ht="31.5" x14ac:dyDescent="0.25">
      <c r="A23" s="4">
        <v>20</v>
      </c>
      <c r="B23" s="83"/>
      <c r="C23" s="86"/>
      <c r="D23" s="20" t="s">
        <v>30</v>
      </c>
      <c r="E23" s="21" t="s">
        <v>92</v>
      </c>
      <c r="F23" s="51" t="s">
        <v>127</v>
      </c>
      <c r="G23" s="51" t="s">
        <v>182</v>
      </c>
      <c r="H23" s="32"/>
      <c r="I23" s="32"/>
      <c r="J23" s="32"/>
      <c r="K23" s="32"/>
      <c r="L23" s="32"/>
      <c r="M23">
        <f t="shared" si="0"/>
        <v>87</v>
      </c>
      <c r="N23">
        <f t="shared" si="1"/>
        <v>35</v>
      </c>
    </row>
    <row r="24" spans="1:14" ht="31.5" x14ac:dyDescent="0.25">
      <c r="A24" s="4">
        <v>21</v>
      </c>
      <c r="B24" s="83"/>
      <c r="C24" s="86"/>
      <c r="D24" s="20" t="s">
        <v>31</v>
      </c>
      <c r="E24" s="6" t="s">
        <v>93</v>
      </c>
      <c r="F24" s="51" t="s">
        <v>118</v>
      </c>
      <c r="G24" s="51" t="s">
        <v>177</v>
      </c>
      <c r="H24" s="32"/>
      <c r="I24" s="32"/>
      <c r="J24" s="32"/>
      <c r="K24" s="32"/>
      <c r="L24" s="32"/>
      <c r="M24">
        <f t="shared" si="0"/>
        <v>17</v>
      </c>
      <c r="N24">
        <f t="shared" si="1"/>
        <v>191</v>
      </c>
    </row>
    <row r="25" spans="1:14" ht="30.75" customHeight="1" thickBot="1" x14ac:dyDescent="0.3">
      <c r="A25" s="4">
        <v>22</v>
      </c>
      <c r="B25" s="84"/>
      <c r="C25" s="87"/>
      <c r="D25" s="18" t="s">
        <v>21</v>
      </c>
      <c r="E25" s="62" t="s">
        <v>94</v>
      </c>
      <c r="F25" s="51" t="s">
        <v>139</v>
      </c>
      <c r="G25" s="51" t="s">
        <v>177</v>
      </c>
      <c r="H25" s="52"/>
      <c r="I25" s="52"/>
      <c r="J25" s="52"/>
      <c r="K25" s="52"/>
      <c r="L25" s="52"/>
      <c r="M25">
        <f t="shared" si="0"/>
        <v>2</v>
      </c>
      <c r="N25">
        <f t="shared" si="1"/>
        <v>55</v>
      </c>
    </row>
    <row r="26" spans="1:14" ht="31.5" x14ac:dyDescent="0.25">
      <c r="A26" s="4">
        <v>23</v>
      </c>
      <c r="B26" s="76" t="s">
        <v>6</v>
      </c>
      <c r="C26" s="79">
        <v>1089</v>
      </c>
      <c r="D26" s="15" t="s">
        <v>32</v>
      </c>
      <c r="E26" s="5" t="s">
        <v>82</v>
      </c>
      <c r="F26" s="51" t="s">
        <v>105</v>
      </c>
      <c r="G26" s="51" t="s">
        <v>176</v>
      </c>
      <c r="H26" s="38"/>
      <c r="I26" s="38"/>
      <c r="J26" s="38"/>
      <c r="K26" s="38"/>
      <c r="L26" s="38"/>
      <c r="M26">
        <f t="shared" si="0"/>
        <v>45</v>
      </c>
      <c r="N26">
        <f t="shared" si="1"/>
        <v>164</v>
      </c>
    </row>
    <row r="27" spans="1:14" ht="31.5" x14ac:dyDescent="0.25">
      <c r="A27" s="4">
        <v>24</v>
      </c>
      <c r="B27" s="77"/>
      <c r="C27" s="80"/>
      <c r="D27" s="16" t="s">
        <v>33</v>
      </c>
      <c r="E27" s="6" t="s">
        <v>81</v>
      </c>
      <c r="F27" s="51" t="s">
        <v>152</v>
      </c>
      <c r="G27" s="51" t="s">
        <v>175</v>
      </c>
      <c r="H27" s="39"/>
      <c r="I27" s="39"/>
      <c r="J27" s="39"/>
      <c r="K27" s="39"/>
      <c r="L27" s="39"/>
      <c r="M27">
        <f t="shared" si="0"/>
        <v>95</v>
      </c>
    </row>
    <row r="28" spans="1:14" ht="31.5" x14ac:dyDescent="0.25">
      <c r="A28" s="4">
        <v>25</v>
      </c>
      <c r="B28" s="77"/>
      <c r="C28" s="80"/>
      <c r="D28" s="16" t="s">
        <v>34</v>
      </c>
      <c r="E28" s="6" t="s">
        <v>80</v>
      </c>
      <c r="F28" s="51" t="s">
        <v>150</v>
      </c>
      <c r="G28" s="50" t="s">
        <v>180</v>
      </c>
      <c r="H28" s="32"/>
      <c r="I28" s="32"/>
      <c r="J28" s="32"/>
      <c r="K28" s="32"/>
      <c r="L28" s="32"/>
      <c r="M28">
        <f t="shared" si="0"/>
        <v>26</v>
      </c>
      <c r="N28">
        <f t="shared" si="1"/>
        <v>183</v>
      </c>
    </row>
    <row r="29" spans="1:14" ht="31.5" x14ac:dyDescent="0.25">
      <c r="A29" s="4">
        <v>26</v>
      </c>
      <c r="B29" s="77"/>
      <c r="C29" s="80"/>
      <c r="D29" s="16" t="s">
        <v>35</v>
      </c>
      <c r="E29" s="21" t="s">
        <v>95</v>
      </c>
      <c r="F29" s="51" t="s">
        <v>141</v>
      </c>
      <c r="G29" s="32"/>
      <c r="H29" s="32"/>
      <c r="I29" s="32"/>
      <c r="J29" s="32"/>
      <c r="K29" s="32"/>
      <c r="L29" s="32"/>
      <c r="M29">
        <f t="shared" si="0"/>
        <v>208</v>
      </c>
    </row>
    <row r="30" spans="1:14" ht="31.5" x14ac:dyDescent="0.25">
      <c r="A30" s="4">
        <v>27</v>
      </c>
      <c r="B30" s="77"/>
      <c r="C30" s="80"/>
      <c r="D30" s="16" t="s">
        <v>36</v>
      </c>
      <c r="E30" s="6" t="s">
        <v>96</v>
      </c>
      <c r="F30" s="51" t="s">
        <v>117</v>
      </c>
      <c r="G30" s="32"/>
      <c r="H30" s="32"/>
      <c r="I30" s="32"/>
      <c r="J30" s="32"/>
      <c r="K30" s="32"/>
      <c r="L30" s="32"/>
      <c r="M30">
        <f t="shared" si="0"/>
        <v>163</v>
      </c>
      <c r="N30">
        <f t="shared" si="1"/>
        <v>45</v>
      </c>
    </row>
    <row r="31" spans="1:14" ht="39.75" customHeight="1" thickBot="1" x14ac:dyDescent="0.3">
      <c r="A31" s="4">
        <v>28</v>
      </c>
      <c r="B31" s="78"/>
      <c r="C31" s="81"/>
      <c r="D31" s="18" t="s">
        <v>21</v>
      </c>
      <c r="E31" s="63" t="s">
        <v>97</v>
      </c>
      <c r="F31" s="51" t="s">
        <v>138</v>
      </c>
      <c r="G31" s="51" t="s">
        <v>177</v>
      </c>
      <c r="H31" s="54"/>
      <c r="I31" s="54"/>
      <c r="J31" s="54"/>
      <c r="K31" s="54"/>
      <c r="L31" s="54"/>
      <c r="M31">
        <f t="shared" si="0"/>
        <v>43</v>
      </c>
    </row>
    <row r="32" spans="1:14" ht="38.25" customHeight="1" x14ac:dyDescent="0.25">
      <c r="A32" s="4">
        <v>29</v>
      </c>
      <c r="B32" s="76" t="s">
        <v>7</v>
      </c>
      <c r="C32" s="79">
        <v>1092</v>
      </c>
      <c r="D32" s="15" t="s">
        <v>37</v>
      </c>
      <c r="E32" s="5" t="s">
        <v>82</v>
      </c>
      <c r="F32" s="51" t="s">
        <v>106</v>
      </c>
      <c r="G32" s="51" t="s">
        <v>177</v>
      </c>
      <c r="H32" s="54"/>
      <c r="I32" s="54"/>
      <c r="J32" s="54"/>
      <c r="K32" s="54"/>
      <c r="L32" s="54"/>
      <c r="M32">
        <f t="shared" si="0"/>
        <v>49</v>
      </c>
      <c r="N32">
        <f t="shared" si="1"/>
        <v>159</v>
      </c>
    </row>
    <row r="33" spans="1:14" ht="31.5" x14ac:dyDescent="0.25">
      <c r="A33" s="4">
        <v>30</v>
      </c>
      <c r="B33" s="77"/>
      <c r="C33" s="80"/>
      <c r="D33" s="16" t="s">
        <v>38</v>
      </c>
      <c r="E33" s="6" t="s">
        <v>98</v>
      </c>
      <c r="F33" s="55" t="s">
        <v>158</v>
      </c>
      <c r="G33" s="52"/>
      <c r="H33" s="52"/>
      <c r="I33" s="52"/>
      <c r="J33" s="52"/>
      <c r="K33" s="52"/>
      <c r="L33" s="52"/>
      <c r="M33">
        <f t="shared" si="0"/>
        <v>71</v>
      </c>
      <c r="N33">
        <f t="shared" si="1"/>
        <v>127</v>
      </c>
    </row>
    <row r="34" spans="1:14" ht="31.5" x14ac:dyDescent="0.25">
      <c r="A34" s="4">
        <v>31</v>
      </c>
      <c r="B34" s="77"/>
      <c r="C34" s="80"/>
      <c r="D34" s="16" t="s">
        <v>39</v>
      </c>
      <c r="E34" s="6" t="s">
        <v>80</v>
      </c>
      <c r="F34" s="51" t="s">
        <v>115</v>
      </c>
      <c r="G34" s="51" t="s">
        <v>173</v>
      </c>
      <c r="H34" s="52"/>
      <c r="I34" s="52"/>
      <c r="J34" s="52"/>
      <c r="K34" s="52"/>
      <c r="L34" s="52"/>
      <c r="M34">
        <f t="shared" si="0"/>
        <v>155</v>
      </c>
      <c r="N34">
        <f t="shared" si="1"/>
        <v>33</v>
      </c>
    </row>
    <row r="35" spans="1:14" ht="31.5" x14ac:dyDescent="0.25">
      <c r="A35" s="4">
        <v>32</v>
      </c>
      <c r="B35" s="77"/>
      <c r="C35" s="80"/>
      <c r="D35" s="16" t="s">
        <v>40</v>
      </c>
      <c r="E35" s="6" t="s">
        <v>79</v>
      </c>
      <c r="F35" s="51" t="s">
        <v>116</v>
      </c>
      <c r="G35" s="51" t="s">
        <v>172</v>
      </c>
      <c r="H35" s="52"/>
      <c r="I35" s="52"/>
      <c r="J35" s="52"/>
      <c r="K35" s="52"/>
      <c r="L35" s="52"/>
      <c r="M35">
        <f t="shared" si="0"/>
        <v>149</v>
      </c>
      <c r="N35">
        <f t="shared" si="1"/>
        <v>74</v>
      </c>
    </row>
    <row r="36" spans="1:14" ht="31.5" x14ac:dyDescent="0.25">
      <c r="A36" s="4">
        <v>33</v>
      </c>
      <c r="B36" s="77"/>
      <c r="C36" s="80"/>
      <c r="D36" s="16" t="s">
        <v>41</v>
      </c>
      <c r="E36" s="6" t="s">
        <v>78</v>
      </c>
      <c r="F36" s="51" t="s">
        <v>132</v>
      </c>
      <c r="G36" s="51" t="s">
        <v>183</v>
      </c>
      <c r="H36" s="52"/>
      <c r="I36" s="52"/>
      <c r="J36" s="52"/>
      <c r="K36" s="52"/>
      <c r="L36" s="52"/>
      <c r="M36">
        <f t="shared" si="0"/>
        <v>51</v>
      </c>
      <c r="N36">
        <f t="shared" si="1"/>
        <v>35</v>
      </c>
    </row>
    <row r="37" spans="1:14" ht="36" customHeight="1" thickBot="1" x14ac:dyDescent="0.3">
      <c r="A37" s="4">
        <v>34</v>
      </c>
      <c r="B37" s="78"/>
      <c r="C37" s="81"/>
      <c r="D37" s="18" t="s">
        <v>21</v>
      </c>
      <c r="E37" s="63" t="s">
        <v>99</v>
      </c>
      <c r="F37" s="51" t="s">
        <v>140</v>
      </c>
      <c r="G37" s="43"/>
      <c r="H37" s="43"/>
      <c r="I37" s="43"/>
      <c r="J37" s="43"/>
      <c r="K37" s="43"/>
      <c r="L37" s="43"/>
      <c r="M37">
        <f t="shared" si="0"/>
        <v>6</v>
      </c>
      <c r="N37">
        <f t="shared" si="1"/>
        <v>40</v>
      </c>
    </row>
    <row r="38" spans="1:14" ht="33" customHeight="1" thickBot="1" x14ac:dyDescent="0.3">
      <c r="A38" s="4">
        <v>35</v>
      </c>
      <c r="B38" s="23" t="s">
        <v>8</v>
      </c>
      <c r="C38" s="24">
        <v>917</v>
      </c>
      <c r="D38" s="24" t="s">
        <v>65</v>
      </c>
      <c r="E38" s="56" t="s">
        <v>77</v>
      </c>
      <c r="F38" s="51" t="s">
        <v>154</v>
      </c>
      <c r="G38" s="51" t="s">
        <v>177</v>
      </c>
      <c r="H38" s="54"/>
      <c r="I38" s="54"/>
      <c r="J38" s="54"/>
      <c r="K38" s="54"/>
      <c r="L38" s="54"/>
      <c r="M38">
        <f t="shared" si="0"/>
        <v>86</v>
      </c>
      <c r="N38">
        <f t="shared" si="1"/>
        <v>718</v>
      </c>
    </row>
    <row r="39" spans="1:14" ht="18.75" x14ac:dyDescent="0.3">
      <c r="A39" s="4">
        <v>32</v>
      </c>
      <c r="B39" s="10" t="s">
        <v>42</v>
      </c>
      <c r="C39" s="25">
        <f>SUM(C4:C38)</f>
        <v>7372</v>
      </c>
      <c r="D39" s="25"/>
      <c r="E39" s="11"/>
      <c r="F39" s="66" t="s">
        <v>161</v>
      </c>
      <c r="G39" s="40"/>
      <c r="H39" s="40"/>
      <c r="I39" s="40"/>
      <c r="J39" s="40"/>
      <c r="K39" s="40"/>
      <c r="L39" s="40"/>
      <c r="M39">
        <f>SUM(M4:M38)</f>
        <v>2657</v>
      </c>
      <c r="N39">
        <f>SUM(N4:N38)</f>
        <v>3451</v>
      </c>
    </row>
    <row r="40" spans="1:14" s="7" customFormat="1" ht="16.5" x14ac:dyDescent="0.25">
      <c r="A40" s="4">
        <v>33</v>
      </c>
      <c r="B40"/>
      <c r="C40" s="12"/>
      <c r="D40" s="12"/>
      <c r="E40" s="12"/>
      <c r="F40" s="40"/>
      <c r="G40" s="40"/>
      <c r="H40" s="40"/>
      <c r="I40" s="40"/>
      <c r="J40" s="40"/>
      <c r="K40" s="40"/>
      <c r="L40" s="40"/>
      <c r="M40"/>
      <c r="N40"/>
    </row>
    <row r="41" spans="1:14" ht="18.75" x14ac:dyDescent="0.25">
      <c r="A41" s="9"/>
      <c r="B41" s="1"/>
      <c r="F41" s="40"/>
      <c r="G41" s="40"/>
      <c r="H41" s="40"/>
      <c r="I41" s="40"/>
      <c r="J41" s="40"/>
      <c r="K41" s="40"/>
      <c r="L41" s="40"/>
    </row>
    <row r="42" spans="1:14" ht="16.5" x14ac:dyDescent="0.25">
      <c r="F42" s="40"/>
      <c r="G42" s="40"/>
      <c r="H42" s="40"/>
      <c r="I42" s="40"/>
      <c r="J42" s="40"/>
      <c r="K42" s="40"/>
      <c r="L42" s="40"/>
    </row>
    <row r="43" spans="1:14" ht="18.75" x14ac:dyDescent="0.25">
      <c r="B43" s="1"/>
      <c r="F43" s="40"/>
      <c r="G43" s="40"/>
      <c r="H43" s="40"/>
      <c r="I43" s="40"/>
      <c r="J43" s="40"/>
      <c r="K43" s="40"/>
      <c r="L43" s="40"/>
    </row>
    <row r="44" spans="1:14" ht="16.5" x14ac:dyDescent="0.25">
      <c r="F44" s="22"/>
    </row>
    <row r="45" spans="1:14" x14ac:dyDescent="0.25">
      <c r="F45" s="7"/>
      <c r="G45" s="7"/>
      <c r="H45" s="7"/>
      <c r="I45" s="7"/>
      <c r="J45" s="7"/>
      <c r="K45" s="7"/>
      <c r="L45" s="7"/>
    </row>
  </sheetData>
  <mergeCells count="10">
    <mergeCell ref="B32:B37"/>
    <mergeCell ref="C32:C37"/>
    <mergeCell ref="B26:B31"/>
    <mergeCell ref="C26:C31"/>
    <mergeCell ref="A1:E1"/>
    <mergeCell ref="A2:E2"/>
    <mergeCell ref="B4:B14"/>
    <mergeCell ref="C4:C14"/>
    <mergeCell ref="B15:B25"/>
    <mergeCell ref="C15:C25"/>
  </mergeCells>
  <pageMargins left="0.7" right="0.7" top="0.75" bottom="0.75" header="0.3" footer="0.3"/>
  <pageSetup paperSize="9" scale="71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2"/>
  <sheetViews>
    <sheetView zoomScale="70" zoomScaleNormal="70" workbookViewId="0">
      <selection activeCell="E10" sqref="E10"/>
    </sheetView>
  </sheetViews>
  <sheetFormatPr defaultRowHeight="15" x14ac:dyDescent="0.25"/>
  <cols>
    <col min="2" max="2" width="30.85546875" customWidth="1"/>
    <col min="3" max="3" width="15.5703125" customWidth="1"/>
    <col min="4" max="4" width="31.42578125" customWidth="1"/>
    <col min="5" max="5" width="44" customWidth="1"/>
    <col min="6" max="6" width="32.28515625" customWidth="1"/>
    <col min="7" max="7" width="32.85546875" customWidth="1"/>
    <col min="8" max="8" width="16.28515625" customWidth="1"/>
    <col min="9" max="9" width="15.42578125" customWidth="1"/>
    <col min="10" max="10" width="14.85546875" customWidth="1"/>
    <col min="11" max="11" width="12.28515625" customWidth="1"/>
    <col min="12" max="12" width="13.7109375" customWidth="1"/>
  </cols>
  <sheetData>
    <row r="1" spans="1:14" ht="18.75" x14ac:dyDescent="0.25">
      <c r="A1" s="74" t="s">
        <v>0</v>
      </c>
      <c r="B1" s="74"/>
      <c r="C1" s="74"/>
      <c r="D1" s="74"/>
      <c r="E1" s="74"/>
      <c r="F1" s="1"/>
      <c r="G1" s="1"/>
    </row>
    <row r="2" spans="1:14" ht="15.75" x14ac:dyDescent="0.25">
      <c r="A2" s="75" t="s">
        <v>1</v>
      </c>
      <c r="B2" s="75"/>
      <c r="C2" s="75"/>
      <c r="D2" s="75"/>
      <c r="E2" s="75"/>
      <c r="F2" s="2"/>
      <c r="G2" s="2"/>
      <c r="H2" s="2"/>
    </row>
    <row r="3" spans="1:14" ht="38.25" thickBot="1" x14ac:dyDescent="0.3">
      <c r="A3" s="26" t="s">
        <v>2</v>
      </c>
      <c r="B3" s="27" t="s">
        <v>3</v>
      </c>
      <c r="C3" s="3" t="s">
        <v>43</v>
      </c>
      <c r="D3" s="3" t="s">
        <v>10</v>
      </c>
      <c r="E3" s="28" t="s">
        <v>44</v>
      </c>
      <c r="F3" s="29" t="s">
        <v>45</v>
      </c>
      <c r="G3" s="29" t="s">
        <v>46</v>
      </c>
      <c r="H3" s="29" t="s">
        <v>47</v>
      </c>
      <c r="I3" s="29" t="s">
        <v>48</v>
      </c>
      <c r="J3" s="29" t="s">
        <v>49</v>
      </c>
      <c r="K3" s="29" t="s">
        <v>50</v>
      </c>
      <c r="L3" s="29" t="s">
        <v>51</v>
      </c>
    </row>
    <row r="4" spans="1:14" ht="38.25" customHeight="1" x14ac:dyDescent="0.25">
      <c r="A4" s="4">
        <v>1</v>
      </c>
      <c r="B4" s="76" t="s">
        <v>4</v>
      </c>
      <c r="C4" s="79">
        <v>1804</v>
      </c>
      <c r="D4" s="15" t="s">
        <v>11</v>
      </c>
      <c r="E4" s="30" t="s">
        <v>52</v>
      </c>
      <c r="F4" s="51" t="s">
        <v>107</v>
      </c>
      <c r="G4" s="51" t="s">
        <v>167</v>
      </c>
      <c r="H4" s="9"/>
      <c r="I4" s="9"/>
      <c r="J4" s="9"/>
      <c r="K4" s="9"/>
      <c r="L4" s="9"/>
      <c r="M4">
        <f>VALUE(MID(F4, FIND("rà gửi lục:", F4) + LEN("rà gửi lục: "), FIND("thửa", F4, FIND("rà gửi lục:", F4)) - (FIND("rà gửi lục:", F4) + LEN("rà gửi lục: "))))</f>
        <v>108</v>
      </c>
      <c r="N4">
        <f>VALUE(MID(F4, FIND("cập nhật lên nhóm 1:", F4) + LEN("cập nhật lên nhóm 1: "), FIND("thửa", F4, FIND("cập nhật lên nhóm 1:", F4)) - (FIND("cập nhật lên nhóm 1:", F4) + LEN("cập nhật lên nhóm 1: "))))</f>
        <v>46</v>
      </c>
    </row>
    <row r="5" spans="1:14" ht="31.5" x14ac:dyDescent="0.25">
      <c r="A5" s="4">
        <v>2</v>
      </c>
      <c r="B5" s="77"/>
      <c r="C5" s="80"/>
      <c r="D5" s="16" t="s">
        <v>12</v>
      </c>
      <c r="E5" s="31" t="s">
        <v>53</v>
      </c>
      <c r="F5" s="51" t="s">
        <v>108</v>
      </c>
      <c r="G5" s="9"/>
      <c r="H5" s="9"/>
      <c r="I5" s="9"/>
      <c r="J5" s="9"/>
      <c r="K5" s="9"/>
      <c r="L5" s="9"/>
      <c r="M5">
        <f t="shared" ref="M5:M36" si="0">VALUE(MID(F5, FIND("rà gửi lục:", F5) + LEN("rà gửi lục: "), FIND("thửa", F5, FIND("rà gửi lục:", F5)) - (FIND("rà gửi lục:", F5) + LEN("rà gửi lục: "))))</f>
        <v>214</v>
      </c>
      <c r="N5">
        <f t="shared" ref="N5:N35" si="1">VALUE(MID(F5, FIND("cập nhật lên nhóm 1:", F5) + LEN("cập nhật lên nhóm 1: "), FIND("thửa", F5, FIND("cập nhật lên nhóm 1:", F5)) - (FIND("cập nhật lên nhóm 1:", F5) + LEN("cập nhật lên nhóm 1: "))))</f>
        <v>104</v>
      </c>
    </row>
    <row r="6" spans="1:14" ht="18.75" x14ac:dyDescent="0.25">
      <c r="A6" s="4">
        <v>3</v>
      </c>
      <c r="B6" s="77"/>
      <c r="C6" s="80"/>
      <c r="D6" s="16" t="s">
        <v>13</v>
      </c>
      <c r="E6" s="31" t="s">
        <v>54</v>
      </c>
      <c r="F6" s="9"/>
      <c r="G6" s="9"/>
      <c r="H6" s="9"/>
      <c r="I6" s="9"/>
      <c r="J6" s="9"/>
      <c r="K6" s="9"/>
      <c r="L6" s="9"/>
    </row>
    <row r="7" spans="1:14" ht="31.5" x14ac:dyDescent="0.25">
      <c r="A7" s="4">
        <v>4</v>
      </c>
      <c r="B7" s="77"/>
      <c r="C7" s="80"/>
      <c r="D7" s="16" t="s">
        <v>14</v>
      </c>
      <c r="E7" s="31" t="s">
        <v>55</v>
      </c>
      <c r="F7" s="51" t="s">
        <v>109</v>
      </c>
      <c r="G7" s="51" t="s">
        <v>168</v>
      </c>
      <c r="H7" s="9"/>
      <c r="I7" s="9"/>
      <c r="J7" s="9"/>
      <c r="K7" s="9"/>
      <c r="L7" s="9"/>
      <c r="M7">
        <f t="shared" si="0"/>
        <v>59</v>
      </c>
      <c r="N7">
        <f t="shared" si="1"/>
        <v>59</v>
      </c>
    </row>
    <row r="8" spans="1:14" ht="18.75" x14ac:dyDescent="0.25">
      <c r="A8" s="4">
        <v>5</v>
      </c>
      <c r="B8" s="77"/>
      <c r="C8" s="80"/>
      <c r="D8" s="16" t="s">
        <v>15</v>
      </c>
      <c r="E8" s="31" t="s">
        <v>56</v>
      </c>
      <c r="F8" s="9"/>
      <c r="G8" s="9"/>
      <c r="H8" s="9"/>
      <c r="I8" s="9"/>
      <c r="J8" s="9"/>
      <c r="K8" s="9"/>
      <c r="L8" s="9"/>
    </row>
    <row r="9" spans="1:14" ht="19.5" thickBot="1" x14ac:dyDescent="0.3">
      <c r="A9" s="4">
        <v>6</v>
      </c>
      <c r="B9" s="77"/>
      <c r="C9" s="80"/>
      <c r="D9" s="16" t="s">
        <v>16</v>
      </c>
      <c r="E9" s="31" t="s">
        <v>57</v>
      </c>
      <c r="F9" s="32"/>
      <c r="G9" s="32"/>
      <c r="H9" s="32"/>
      <c r="I9" s="32"/>
      <c r="J9" s="32"/>
      <c r="K9" s="32"/>
      <c r="L9" s="32"/>
    </row>
    <row r="10" spans="1:14" ht="18.75" x14ac:dyDescent="0.25">
      <c r="A10" s="4">
        <v>7</v>
      </c>
      <c r="B10" s="82" t="s">
        <v>5</v>
      </c>
      <c r="C10" s="85">
        <v>2757</v>
      </c>
      <c r="D10" s="19" t="s">
        <v>22</v>
      </c>
      <c r="E10" s="30" t="s">
        <v>52</v>
      </c>
      <c r="F10" s="9"/>
      <c r="G10" s="9"/>
      <c r="H10" s="9"/>
      <c r="I10" s="9"/>
      <c r="J10" s="9"/>
      <c r="K10" s="9"/>
      <c r="L10" s="9"/>
    </row>
    <row r="11" spans="1:14" ht="18.75" x14ac:dyDescent="0.25">
      <c r="A11" s="4">
        <v>8</v>
      </c>
      <c r="B11" s="83"/>
      <c r="C11" s="86"/>
      <c r="D11" s="20" t="s">
        <v>23</v>
      </c>
      <c r="E11" s="31" t="s">
        <v>53</v>
      </c>
      <c r="F11" s="9"/>
      <c r="G11" s="9"/>
      <c r="H11" s="9"/>
      <c r="I11" s="9"/>
      <c r="J11" s="9"/>
      <c r="K11" s="9"/>
      <c r="L11" s="9"/>
    </row>
    <row r="12" spans="1:14" ht="18.75" x14ac:dyDescent="0.25">
      <c r="A12" s="4">
        <v>9</v>
      </c>
      <c r="B12" s="83"/>
      <c r="C12" s="86"/>
      <c r="D12" s="20" t="s">
        <v>24</v>
      </c>
      <c r="E12" s="31" t="s">
        <v>54</v>
      </c>
      <c r="F12" s="33"/>
      <c r="G12" s="33"/>
      <c r="H12" s="33"/>
      <c r="I12" s="33"/>
      <c r="J12" s="33"/>
      <c r="K12" s="33"/>
      <c r="L12" s="33"/>
    </row>
    <row r="13" spans="1:14" ht="18.75" x14ac:dyDescent="0.25">
      <c r="A13" s="4">
        <v>10</v>
      </c>
      <c r="B13" s="83"/>
      <c r="C13" s="86"/>
      <c r="D13" s="20" t="s">
        <v>25</v>
      </c>
      <c r="E13" s="31" t="s">
        <v>55</v>
      </c>
      <c r="F13" s="33"/>
      <c r="G13" s="33"/>
      <c r="H13" s="33"/>
      <c r="I13" s="33"/>
      <c r="J13" s="33"/>
      <c r="K13" s="33"/>
      <c r="L13" s="33"/>
    </row>
    <row r="14" spans="1:14" ht="31.5" x14ac:dyDescent="0.25">
      <c r="A14" s="4">
        <v>11</v>
      </c>
      <c r="B14" s="83"/>
      <c r="C14" s="86"/>
      <c r="D14" s="20" t="s">
        <v>26</v>
      </c>
      <c r="E14" s="31" t="s">
        <v>56</v>
      </c>
      <c r="F14" s="33"/>
      <c r="G14" s="51" t="s">
        <v>189</v>
      </c>
      <c r="H14" s="33"/>
      <c r="I14" s="33"/>
      <c r="J14" s="33"/>
      <c r="K14" s="33"/>
      <c r="L14" s="33"/>
    </row>
    <row r="15" spans="1:14" ht="31.5" x14ac:dyDescent="0.25">
      <c r="A15" s="4">
        <v>12</v>
      </c>
      <c r="B15" s="83"/>
      <c r="C15" s="86"/>
      <c r="D15" s="20" t="s">
        <v>27</v>
      </c>
      <c r="E15" s="31" t="s">
        <v>58</v>
      </c>
      <c r="F15" s="34"/>
      <c r="G15" s="51" t="s">
        <v>189</v>
      </c>
      <c r="H15" s="34"/>
      <c r="I15" s="34"/>
      <c r="J15" s="34"/>
      <c r="K15" s="34"/>
      <c r="L15" s="34"/>
    </row>
    <row r="16" spans="1:14" ht="18.75" x14ac:dyDescent="0.25">
      <c r="A16" s="4">
        <v>13</v>
      </c>
      <c r="B16" s="83"/>
      <c r="C16" s="86"/>
      <c r="D16" s="20" t="s">
        <v>28</v>
      </c>
      <c r="E16" s="35" t="s">
        <v>59</v>
      </c>
      <c r="F16" s="34"/>
      <c r="G16" s="51" t="s">
        <v>188</v>
      </c>
      <c r="H16" s="34"/>
      <c r="I16" s="34"/>
      <c r="J16" s="34"/>
      <c r="K16" s="34"/>
      <c r="L16" s="34"/>
    </row>
    <row r="17" spans="1:14" ht="18.75" x14ac:dyDescent="0.25">
      <c r="A17" s="4">
        <v>14</v>
      </c>
      <c r="B17" s="83"/>
      <c r="C17" s="86"/>
      <c r="D17" s="20" t="s">
        <v>29</v>
      </c>
      <c r="E17" s="36" t="s">
        <v>60</v>
      </c>
      <c r="F17" s="34"/>
      <c r="G17" s="51" t="s">
        <v>188</v>
      </c>
      <c r="H17" s="34"/>
      <c r="I17" s="34"/>
      <c r="J17" s="34"/>
      <c r="K17" s="34"/>
      <c r="L17" s="34"/>
    </row>
    <row r="18" spans="1:14" ht="19.5" thickBot="1" x14ac:dyDescent="0.3">
      <c r="A18" s="4">
        <v>15</v>
      </c>
      <c r="B18" s="83"/>
      <c r="C18" s="86"/>
      <c r="D18" s="16" t="s">
        <v>16</v>
      </c>
      <c r="E18" s="36" t="s">
        <v>61</v>
      </c>
      <c r="F18" s="32"/>
      <c r="G18" s="32"/>
      <c r="H18" s="32"/>
      <c r="I18" s="32"/>
      <c r="J18" s="32"/>
      <c r="K18" s="32"/>
      <c r="L18" s="32"/>
    </row>
    <row r="19" spans="1:14" ht="18.75" x14ac:dyDescent="0.25">
      <c r="A19" s="4">
        <v>17</v>
      </c>
      <c r="B19" s="88" t="s">
        <v>6</v>
      </c>
      <c r="C19" s="79">
        <v>2661</v>
      </c>
      <c r="D19" s="15" t="s">
        <v>32</v>
      </c>
      <c r="E19" s="30" t="s">
        <v>52</v>
      </c>
      <c r="F19" s="9"/>
      <c r="G19" s="9"/>
      <c r="H19" s="9"/>
      <c r="I19" s="9"/>
      <c r="J19" s="9"/>
      <c r="K19" s="9"/>
      <c r="L19" s="9"/>
    </row>
    <row r="20" spans="1:14" ht="31.5" x14ac:dyDescent="0.25">
      <c r="A20" s="4">
        <v>18</v>
      </c>
      <c r="B20" s="89"/>
      <c r="C20" s="80"/>
      <c r="D20" s="16" t="s">
        <v>33</v>
      </c>
      <c r="E20" s="31" t="s">
        <v>53</v>
      </c>
      <c r="F20" s="51" t="s">
        <v>110</v>
      </c>
      <c r="G20" s="9"/>
      <c r="H20" s="9"/>
      <c r="I20" s="9"/>
      <c r="J20" s="9"/>
      <c r="K20" s="9"/>
      <c r="L20" s="9"/>
      <c r="M20">
        <f t="shared" si="0"/>
        <v>287</v>
      </c>
      <c r="N20">
        <f t="shared" si="1"/>
        <v>41</v>
      </c>
    </row>
    <row r="21" spans="1:14" ht="31.5" x14ac:dyDescent="0.25">
      <c r="A21" s="4">
        <v>19</v>
      </c>
      <c r="B21" s="89"/>
      <c r="C21" s="80"/>
      <c r="D21" s="16" t="s">
        <v>34</v>
      </c>
      <c r="E21" s="31" t="s">
        <v>54</v>
      </c>
      <c r="F21" s="51" t="s">
        <v>151</v>
      </c>
      <c r="G21" s="9"/>
      <c r="H21" s="9"/>
      <c r="I21" s="9"/>
      <c r="J21" s="9"/>
      <c r="K21" s="9"/>
      <c r="L21" s="9"/>
      <c r="M21">
        <f t="shared" si="0"/>
        <v>31</v>
      </c>
      <c r="N21">
        <f t="shared" si="1"/>
        <v>21</v>
      </c>
    </row>
    <row r="22" spans="1:14" ht="31.5" x14ac:dyDescent="0.25">
      <c r="A22" s="4">
        <v>20</v>
      </c>
      <c r="B22" s="89"/>
      <c r="C22" s="80"/>
      <c r="D22" s="16" t="s">
        <v>35</v>
      </c>
      <c r="E22" s="31" t="s">
        <v>55</v>
      </c>
      <c r="F22" s="51" t="s">
        <v>142</v>
      </c>
      <c r="G22" s="9"/>
      <c r="H22" s="9"/>
      <c r="I22" s="9"/>
      <c r="J22" s="9"/>
      <c r="K22" s="9"/>
      <c r="L22" s="9"/>
      <c r="M22">
        <f t="shared" si="0"/>
        <v>33</v>
      </c>
      <c r="N22">
        <f t="shared" si="1"/>
        <v>33</v>
      </c>
    </row>
    <row r="23" spans="1:14" ht="18.75" x14ac:dyDescent="0.25">
      <c r="A23" s="4">
        <v>21</v>
      </c>
      <c r="B23" s="89"/>
      <c r="C23" s="80"/>
      <c r="D23" s="16" t="s">
        <v>36</v>
      </c>
      <c r="E23" s="31" t="s">
        <v>56</v>
      </c>
      <c r="F23" s="9"/>
      <c r="G23" s="9"/>
      <c r="H23" s="9"/>
      <c r="I23" s="9"/>
      <c r="J23" s="9"/>
      <c r="K23" s="9"/>
      <c r="L23" s="9"/>
    </row>
    <row r="24" spans="1:14" ht="18.75" x14ac:dyDescent="0.25">
      <c r="A24" s="4">
        <v>22</v>
      </c>
      <c r="B24" s="89"/>
      <c r="C24" s="80"/>
      <c r="D24" s="18" t="s">
        <v>62</v>
      </c>
      <c r="E24" s="31" t="s">
        <v>58</v>
      </c>
      <c r="F24" s="9"/>
      <c r="G24" s="9"/>
      <c r="H24" s="9"/>
      <c r="I24" s="9"/>
      <c r="J24" s="9"/>
      <c r="K24" s="9"/>
      <c r="L24" s="9"/>
    </row>
    <row r="25" spans="1:14" ht="31.5" x14ac:dyDescent="0.25">
      <c r="A25" s="4">
        <v>23</v>
      </c>
      <c r="B25" s="89"/>
      <c r="C25" s="80"/>
      <c r="D25" s="20" t="s">
        <v>30</v>
      </c>
      <c r="E25" s="35" t="s">
        <v>59</v>
      </c>
      <c r="F25" s="51" t="s">
        <v>128</v>
      </c>
      <c r="G25" s="37"/>
      <c r="H25" s="37"/>
      <c r="I25" s="37"/>
      <c r="J25" s="37"/>
      <c r="K25" s="37"/>
      <c r="L25" s="37"/>
      <c r="M25">
        <f t="shared" si="0"/>
        <v>86</v>
      </c>
      <c r="N25">
        <f t="shared" si="1"/>
        <v>12</v>
      </c>
    </row>
    <row r="26" spans="1:14" ht="31.5" x14ac:dyDescent="0.25">
      <c r="A26" s="4">
        <v>24</v>
      </c>
      <c r="B26" s="89"/>
      <c r="C26" s="80"/>
      <c r="D26" s="20" t="s">
        <v>31</v>
      </c>
      <c r="E26" s="36" t="s">
        <v>60</v>
      </c>
      <c r="F26" s="38"/>
      <c r="G26" s="51" t="s">
        <v>187</v>
      </c>
      <c r="H26" s="38"/>
      <c r="I26" s="38"/>
      <c r="J26" s="38"/>
      <c r="K26" s="38"/>
      <c r="L26" s="38"/>
    </row>
    <row r="27" spans="1:14" ht="19.5" thickBot="1" x14ac:dyDescent="0.3">
      <c r="A27" s="4"/>
      <c r="B27" s="90"/>
      <c r="C27" s="81"/>
      <c r="D27" s="18" t="s">
        <v>21</v>
      </c>
      <c r="E27" s="36" t="s">
        <v>184</v>
      </c>
      <c r="F27" s="39"/>
      <c r="G27" s="39" t="s">
        <v>185</v>
      </c>
      <c r="H27" s="39"/>
      <c r="I27" s="39"/>
      <c r="J27" s="39"/>
      <c r="K27" s="39"/>
      <c r="L27" s="39"/>
    </row>
    <row r="28" spans="1:14" ht="31.5" x14ac:dyDescent="0.25">
      <c r="A28" s="4">
        <v>24</v>
      </c>
      <c r="B28" s="88" t="s">
        <v>7</v>
      </c>
      <c r="C28" s="79">
        <v>3215</v>
      </c>
      <c r="D28" s="15" t="s">
        <v>37</v>
      </c>
      <c r="E28" s="30" t="s">
        <v>52</v>
      </c>
      <c r="F28" s="51" t="s">
        <v>110</v>
      </c>
      <c r="G28" s="51" t="s">
        <v>163</v>
      </c>
      <c r="H28" s="9"/>
      <c r="I28" s="9"/>
      <c r="J28" s="9"/>
      <c r="K28" s="9"/>
      <c r="L28" s="9"/>
      <c r="M28">
        <f t="shared" si="0"/>
        <v>287</v>
      </c>
      <c r="N28">
        <f t="shared" si="1"/>
        <v>41</v>
      </c>
    </row>
    <row r="29" spans="1:14" ht="31.5" x14ac:dyDescent="0.25">
      <c r="A29" s="4">
        <v>25</v>
      </c>
      <c r="B29" s="89"/>
      <c r="C29" s="80"/>
      <c r="D29" s="16" t="s">
        <v>38</v>
      </c>
      <c r="E29" s="31" t="s">
        <v>53</v>
      </c>
      <c r="F29" s="51" t="s">
        <v>181</v>
      </c>
      <c r="G29" s="9"/>
      <c r="H29" s="9"/>
      <c r="I29" s="9"/>
      <c r="J29" s="9"/>
      <c r="K29" s="9"/>
      <c r="L29" s="9"/>
    </row>
    <row r="30" spans="1:14" ht="18.75" x14ac:dyDescent="0.25">
      <c r="A30" s="4">
        <v>26</v>
      </c>
      <c r="B30" s="89"/>
      <c r="C30" s="80"/>
      <c r="D30" s="16" t="s">
        <v>39</v>
      </c>
      <c r="E30" s="31" t="s">
        <v>54</v>
      </c>
      <c r="F30" s="9"/>
      <c r="G30" s="9"/>
      <c r="H30" s="9"/>
      <c r="I30" s="9"/>
      <c r="J30" s="9"/>
      <c r="K30" s="9"/>
      <c r="L30" s="9"/>
    </row>
    <row r="31" spans="1:14" ht="18.75" x14ac:dyDescent="0.25">
      <c r="A31" s="4">
        <v>27</v>
      </c>
      <c r="B31" s="89"/>
      <c r="C31" s="80"/>
      <c r="D31" s="16" t="s">
        <v>40</v>
      </c>
      <c r="E31" s="31" t="s">
        <v>55</v>
      </c>
      <c r="F31" s="40"/>
      <c r="G31" s="40"/>
      <c r="H31" s="40"/>
      <c r="I31" s="40"/>
      <c r="J31" s="40"/>
      <c r="K31" s="40"/>
      <c r="L31" s="40"/>
    </row>
    <row r="32" spans="1:14" ht="18.75" x14ac:dyDescent="0.25">
      <c r="A32" s="4">
        <v>28</v>
      </c>
      <c r="B32" s="89"/>
      <c r="C32" s="80"/>
      <c r="D32" s="16" t="s">
        <v>41</v>
      </c>
      <c r="E32" s="31" t="s">
        <v>56</v>
      </c>
      <c r="F32" s="40"/>
      <c r="G32" s="40"/>
      <c r="H32" s="40"/>
      <c r="I32" s="40"/>
      <c r="J32" s="40"/>
      <c r="K32" s="40"/>
      <c r="L32" s="40"/>
    </row>
    <row r="33" spans="1:14" ht="31.5" x14ac:dyDescent="0.25">
      <c r="A33" s="4">
        <v>29</v>
      </c>
      <c r="B33" s="89"/>
      <c r="C33" s="80"/>
      <c r="D33" s="16" t="s">
        <v>17</v>
      </c>
      <c r="E33" s="31" t="s">
        <v>58</v>
      </c>
      <c r="F33" s="51" t="s">
        <v>111</v>
      </c>
      <c r="G33" s="51" t="s">
        <v>164</v>
      </c>
      <c r="H33" s="37"/>
      <c r="I33" s="37"/>
      <c r="J33" s="37"/>
      <c r="K33" s="37"/>
      <c r="L33" s="37"/>
      <c r="M33">
        <f t="shared" si="0"/>
        <v>54</v>
      </c>
      <c r="N33">
        <f t="shared" si="1"/>
        <v>9</v>
      </c>
    </row>
    <row r="34" spans="1:14" ht="31.5" x14ac:dyDescent="0.25">
      <c r="A34" s="4">
        <v>30</v>
      </c>
      <c r="B34" s="89"/>
      <c r="C34" s="80"/>
      <c r="D34" s="16" t="s">
        <v>18</v>
      </c>
      <c r="E34" s="35" t="s">
        <v>59</v>
      </c>
      <c r="F34" s="51" t="s">
        <v>112</v>
      </c>
      <c r="G34" s="51" t="s">
        <v>166</v>
      </c>
      <c r="H34" s="37"/>
      <c r="I34" s="37"/>
      <c r="J34" s="37"/>
      <c r="K34" s="37"/>
      <c r="L34" s="37"/>
      <c r="M34">
        <f t="shared" si="0"/>
        <v>48</v>
      </c>
      <c r="N34">
        <f t="shared" si="1"/>
        <v>15</v>
      </c>
    </row>
    <row r="35" spans="1:14" ht="31.5" x14ac:dyDescent="0.25">
      <c r="A35" s="4">
        <v>31</v>
      </c>
      <c r="B35" s="89"/>
      <c r="C35" s="80"/>
      <c r="D35" s="16" t="s">
        <v>19</v>
      </c>
      <c r="E35" s="36" t="s">
        <v>60</v>
      </c>
      <c r="F35" s="51" t="s">
        <v>113</v>
      </c>
      <c r="G35" s="51" t="s">
        <v>165</v>
      </c>
      <c r="H35" s="37"/>
      <c r="I35" s="37"/>
      <c r="J35" s="37"/>
      <c r="K35" s="37"/>
      <c r="L35" s="37"/>
      <c r="M35">
        <f t="shared" si="0"/>
        <v>9</v>
      </c>
      <c r="N35">
        <f t="shared" si="1"/>
        <v>54</v>
      </c>
    </row>
    <row r="36" spans="1:14" ht="31.5" x14ac:dyDescent="0.25">
      <c r="A36" s="4">
        <v>32</v>
      </c>
      <c r="B36" s="89"/>
      <c r="C36" s="80"/>
      <c r="D36" s="16" t="s">
        <v>20</v>
      </c>
      <c r="E36" s="36" t="s">
        <v>63</v>
      </c>
      <c r="F36" s="51" t="s">
        <v>147</v>
      </c>
      <c r="G36" s="37"/>
      <c r="H36" s="37"/>
      <c r="I36" s="37"/>
      <c r="J36" s="37"/>
      <c r="K36" s="37"/>
      <c r="L36" s="37"/>
      <c r="M36">
        <f t="shared" si="0"/>
        <v>94</v>
      </c>
    </row>
    <row r="37" spans="1:14" ht="19.5" thickBot="1" x14ac:dyDescent="0.35">
      <c r="A37" s="41">
        <v>33</v>
      </c>
      <c r="B37" s="90"/>
      <c r="C37" s="81"/>
      <c r="D37" s="18" t="s">
        <v>21</v>
      </c>
      <c r="E37" s="42" t="s">
        <v>64</v>
      </c>
      <c r="F37" s="43"/>
      <c r="G37" s="43"/>
      <c r="H37" s="43"/>
      <c r="I37" s="43"/>
      <c r="J37" s="43"/>
      <c r="K37" s="43"/>
      <c r="L37" s="43"/>
    </row>
    <row r="38" spans="1:14" ht="32.25" thickBot="1" x14ac:dyDescent="0.3">
      <c r="A38" s="44">
        <v>35</v>
      </c>
      <c r="B38" s="45" t="s">
        <v>8</v>
      </c>
      <c r="C38" s="24">
        <v>1666</v>
      </c>
      <c r="D38" s="24" t="s">
        <v>65</v>
      </c>
      <c r="E38" s="46" t="s">
        <v>66</v>
      </c>
      <c r="F38" s="40"/>
      <c r="G38" s="51" t="s">
        <v>190</v>
      </c>
      <c r="H38" s="40"/>
      <c r="I38" s="40"/>
      <c r="J38" s="40"/>
      <c r="K38" s="40"/>
      <c r="L38" s="40"/>
      <c r="M38">
        <f>SUM(M4:M36)</f>
        <v>1310</v>
      </c>
      <c r="N38">
        <f>SUM(N4:N36)</f>
        <v>435</v>
      </c>
    </row>
    <row r="39" spans="1:14" s="7" customFormat="1" ht="15.75" x14ac:dyDescent="0.25">
      <c r="A39" s="4"/>
      <c r="B39"/>
      <c r="C39" s="12"/>
      <c r="D39" s="12"/>
      <c r="E39" s="12"/>
      <c r="F39" s="67" t="s">
        <v>162</v>
      </c>
    </row>
    <row r="40" spans="1:14" ht="18.75" x14ac:dyDescent="0.25">
      <c r="A40" s="9"/>
      <c r="B40" s="1"/>
    </row>
    <row r="42" spans="1:14" ht="18.75" x14ac:dyDescent="0.25">
      <c r="B42" s="1"/>
    </row>
  </sheetData>
  <mergeCells count="10">
    <mergeCell ref="B19:B27"/>
    <mergeCell ref="C19:C27"/>
    <mergeCell ref="B28:B37"/>
    <mergeCell ref="C28:C37"/>
    <mergeCell ref="A1:E1"/>
    <mergeCell ref="A2:E2"/>
    <mergeCell ref="B4:B9"/>
    <mergeCell ref="C4:C9"/>
    <mergeCell ref="B10:B18"/>
    <mergeCell ref="C10:C18"/>
  </mergeCells>
  <pageMargins left="0.7" right="0.7" top="0.75" bottom="0.75" header="0.3" footer="0.3"/>
  <pageSetup paperSize="9" scale="68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B25" sqref="B25"/>
    </sheetView>
  </sheetViews>
  <sheetFormatPr defaultRowHeight="15" x14ac:dyDescent="0.25"/>
  <cols>
    <col min="1" max="1" width="39" customWidth="1"/>
    <col min="2" max="2" width="29.85546875" customWidth="1"/>
    <col min="3" max="3" width="15.140625" customWidth="1"/>
    <col min="4" max="4" width="13.7109375" customWidth="1"/>
    <col min="5" max="9" width="17.140625" customWidth="1"/>
  </cols>
  <sheetData>
    <row r="1" spans="1:14" ht="15.75" x14ac:dyDescent="0.25">
      <c r="A1" s="92" t="s">
        <v>192</v>
      </c>
      <c r="B1" s="92"/>
      <c r="C1" s="92"/>
      <c r="D1" s="92"/>
      <c r="E1" s="92"/>
    </row>
    <row r="2" spans="1:14" ht="18.75" x14ac:dyDescent="0.3">
      <c r="C2" s="93" t="s">
        <v>193</v>
      </c>
      <c r="D2" s="93"/>
      <c r="E2" s="93"/>
      <c r="F2" s="93"/>
      <c r="G2" s="93"/>
      <c r="H2" s="93"/>
      <c r="I2" s="93"/>
    </row>
    <row r="3" spans="1:14" ht="18.75" x14ac:dyDescent="0.3">
      <c r="A3" s="108" t="s">
        <v>143</v>
      </c>
      <c r="B3" s="72" t="s">
        <v>194</v>
      </c>
      <c r="C3" s="94" t="s">
        <v>45</v>
      </c>
      <c r="D3" s="95" t="s">
        <v>46</v>
      </c>
      <c r="E3" s="95" t="s">
        <v>47</v>
      </c>
      <c r="F3" s="95" t="s">
        <v>48</v>
      </c>
      <c r="G3" s="95" t="s">
        <v>49</v>
      </c>
      <c r="H3" s="95" t="s">
        <v>50</v>
      </c>
      <c r="I3" s="95" t="s">
        <v>51</v>
      </c>
      <c r="J3" s="96"/>
      <c r="K3" s="96"/>
      <c r="L3" s="96"/>
      <c r="M3" s="96"/>
      <c r="N3" s="96"/>
    </row>
    <row r="4" spans="1:14" ht="18.75" x14ac:dyDescent="0.3">
      <c r="A4" s="97" t="s">
        <v>69</v>
      </c>
      <c r="B4" s="71" t="s">
        <v>195</v>
      </c>
      <c r="C4" s="58" t="s">
        <v>125</v>
      </c>
      <c r="D4" s="57">
        <v>53</v>
      </c>
      <c r="E4" s="57"/>
      <c r="F4" s="57"/>
      <c r="G4" s="57"/>
      <c r="H4" s="57"/>
      <c r="I4" s="57"/>
      <c r="J4" s="98"/>
      <c r="K4" s="98"/>
      <c r="L4" s="98"/>
      <c r="M4" s="98"/>
      <c r="N4" s="98"/>
    </row>
    <row r="5" spans="1:14" ht="37.5" x14ac:dyDescent="0.3">
      <c r="A5" s="99"/>
      <c r="B5" s="100" t="s">
        <v>196</v>
      </c>
      <c r="C5" s="58"/>
      <c r="D5" s="57"/>
      <c r="E5" s="57"/>
      <c r="F5" s="57"/>
      <c r="G5" s="57"/>
      <c r="H5" s="57"/>
      <c r="I5" s="57"/>
      <c r="J5" s="101"/>
      <c r="K5" s="101"/>
      <c r="L5" s="101"/>
      <c r="M5" s="101"/>
      <c r="N5" s="101"/>
    </row>
    <row r="6" spans="1:14" ht="18.75" x14ac:dyDescent="0.3">
      <c r="A6" s="97" t="s">
        <v>148</v>
      </c>
      <c r="B6" s="71" t="s">
        <v>195</v>
      </c>
      <c r="C6" s="57" t="s">
        <v>122</v>
      </c>
      <c r="D6" s="57">
        <v>32</v>
      </c>
      <c r="E6" s="57"/>
      <c r="F6" s="57"/>
      <c r="G6" s="57"/>
      <c r="H6" s="57"/>
      <c r="I6" s="57"/>
      <c r="J6" s="98"/>
      <c r="K6" s="98"/>
      <c r="L6" s="98"/>
      <c r="M6" s="98"/>
      <c r="N6" s="98"/>
    </row>
    <row r="7" spans="1:14" ht="37.5" x14ac:dyDescent="0.3">
      <c r="A7" s="99"/>
      <c r="B7" s="100" t="s">
        <v>196</v>
      </c>
      <c r="C7" s="57"/>
      <c r="D7" s="57"/>
      <c r="E7" s="57"/>
      <c r="F7" s="57"/>
      <c r="G7" s="57"/>
      <c r="H7" s="57"/>
      <c r="I7" s="57"/>
      <c r="J7" s="101"/>
      <c r="K7" s="101"/>
      <c r="L7" s="101"/>
      <c r="M7" s="101"/>
      <c r="N7" s="101"/>
    </row>
    <row r="8" spans="1:14" ht="18.75" x14ac:dyDescent="0.3">
      <c r="A8" s="102" t="s">
        <v>119</v>
      </c>
      <c r="B8" s="71" t="s">
        <v>195</v>
      </c>
      <c r="C8" s="57" t="s">
        <v>124</v>
      </c>
      <c r="D8" s="57">
        <v>21</v>
      </c>
      <c r="E8" s="57"/>
      <c r="F8" s="57"/>
      <c r="G8" s="57"/>
      <c r="H8" s="57"/>
      <c r="I8" s="57"/>
      <c r="J8" s="98"/>
      <c r="K8" s="98"/>
      <c r="L8" s="98"/>
      <c r="M8" s="98"/>
      <c r="N8" s="98"/>
    </row>
    <row r="9" spans="1:14" ht="37.5" x14ac:dyDescent="0.3">
      <c r="A9" s="103"/>
      <c r="B9" s="100" t="s">
        <v>196</v>
      </c>
      <c r="C9" s="57"/>
      <c r="D9" s="57"/>
      <c r="E9" s="57"/>
      <c r="F9" s="57"/>
      <c r="G9" s="57"/>
      <c r="H9" s="57"/>
      <c r="I9" s="57"/>
      <c r="J9" s="101"/>
      <c r="K9" s="101"/>
      <c r="L9" s="101"/>
      <c r="M9" s="101"/>
      <c r="N9" s="101"/>
    </row>
    <row r="10" spans="1:14" ht="18.75" x14ac:dyDescent="0.3">
      <c r="A10" s="104" t="s">
        <v>120</v>
      </c>
      <c r="B10" s="71" t="s">
        <v>195</v>
      </c>
      <c r="C10" s="57" t="s">
        <v>126</v>
      </c>
      <c r="D10" s="57">
        <v>15</v>
      </c>
      <c r="E10" s="57"/>
      <c r="F10" s="57"/>
      <c r="G10" s="57"/>
      <c r="H10" s="57"/>
      <c r="I10" s="57"/>
      <c r="J10" s="98"/>
      <c r="K10" s="98"/>
      <c r="L10" s="98"/>
      <c r="M10" s="98"/>
      <c r="N10" s="98"/>
    </row>
    <row r="11" spans="1:14" ht="37.5" x14ac:dyDescent="0.3">
      <c r="A11" s="105"/>
      <c r="B11" s="100" t="s">
        <v>196</v>
      </c>
      <c r="C11" s="57"/>
      <c r="D11" s="57"/>
      <c r="E11" s="57"/>
      <c r="F11" s="57"/>
      <c r="G11" s="57"/>
      <c r="H11" s="57"/>
      <c r="I11" s="57"/>
      <c r="J11" s="101"/>
      <c r="K11" s="101"/>
      <c r="L11" s="101"/>
      <c r="M11" s="101"/>
      <c r="N11" s="101"/>
    </row>
    <row r="12" spans="1:14" ht="18.75" x14ac:dyDescent="0.25">
      <c r="A12" s="109"/>
      <c r="B12" s="110"/>
      <c r="C12" s="110"/>
      <c r="D12" s="110"/>
      <c r="E12" s="110"/>
      <c r="F12" s="110"/>
      <c r="G12" s="110"/>
      <c r="H12" s="110"/>
      <c r="I12" s="110"/>
      <c r="J12" s="98"/>
      <c r="K12" s="98"/>
      <c r="L12" s="98"/>
      <c r="M12" s="98"/>
      <c r="N12" s="98"/>
    </row>
    <row r="14" spans="1:14" ht="15.75" x14ac:dyDescent="0.25">
      <c r="B14" s="111"/>
    </row>
    <row r="16" spans="1:14" ht="18.75" x14ac:dyDescent="0.3">
      <c r="A16" s="106" t="s">
        <v>197</v>
      </c>
      <c r="H16" s="112"/>
      <c r="I16" s="112"/>
    </row>
    <row r="17" spans="3:16" ht="15.75" x14ac:dyDescent="0.25">
      <c r="H17" s="113"/>
      <c r="I17" s="113"/>
    </row>
    <row r="18" spans="3:16" ht="15.75" x14ac:dyDescent="0.25">
      <c r="H18" s="113"/>
      <c r="I18" s="113"/>
    </row>
    <row r="19" spans="3:16" ht="15.75" x14ac:dyDescent="0.25">
      <c r="H19" s="113"/>
      <c r="I19" s="113"/>
    </row>
    <row r="20" spans="3:16" ht="15.75" x14ac:dyDescent="0.25">
      <c r="H20" s="113"/>
      <c r="I20" s="113"/>
    </row>
    <row r="21" spans="3:16" ht="15.75" x14ac:dyDescent="0.25">
      <c r="H21" s="113"/>
      <c r="I21" s="113"/>
    </row>
    <row r="22" spans="3:16" ht="15.75" x14ac:dyDescent="0.25">
      <c r="J22" s="112"/>
      <c r="K22" s="112"/>
      <c r="L22" s="96"/>
      <c r="M22" s="96"/>
      <c r="N22" s="96"/>
      <c r="O22" s="96"/>
      <c r="P22" s="96"/>
    </row>
    <row r="23" spans="3:16" ht="15.75" x14ac:dyDescent="0.25">
      <c r="J23" s="113"/>
      <c r="K23" s="113"/>
      <c r="L23" s="98"/>
      <c r="M23" s="98"/>
      <c r="N23" s="98"/>
      <c r="O23" s="98"/>
      <c r="P23" s="98"/>
    </row>
    <row r="24" spans="3:16" ht="15.75" x14ac:dyDescent="0.25">
      <c r="J24" s="113"/>
      <c r="K24" s="113"/>
      <c r="L24" s="98"/>
      <c r="M24" s="98"/>
      <c r="N24" s="98"/>
      <c r="O24" s="98"/>
      <c r="P24" s="98"/>
    </row>
    <row r="25" spans="3:16" ht="15.75" x14ac:dyDescent="0.25">
      <c r="J25" s="113"/>
      <c r="K25" s="113"/>
      <c r="L25" s="98"/>
      <c r="M25" s="98"/>
      <c r="N25" s="98"/>
      <c r="O25" s="98"/>
      <c r="P25" s="98"/>
    </row>
    <row r="26" spans="3:16" ht="15.75" x14ac:dyDescent="0.25">
      <c r="J26" s="113"/>
      <c r="K26" s="113"/>
      <c r="L26" s="98"/>
      <c r="M26" s="98"/>
      <c r="N26" s="98"/>
      <c r="O26" s="98"/>
      <c r="P26" s="98"/>
    </row>
    <row r="27" spans="3:16" ht="22.5" x14ac:dyDescent="0.25">
      <c r="C27" s="70"/>
      <c r="J27" s="113"/>
      <c r="K27" s="113"/>
      <c r="L27" s="98"/>
      <c r="M27" s="98"/>
      <c r="N27" s="98"/>
      <c r="O27" s="98"/>
      <c r="P27" s="98"/>
    </row>
  </sheetData>
  <mergeCells count="18">
    <mergeCell ref="L26:P26"/>
    <mergeCell ref="L27:P27"/>
    <mergeCell ref="L23:P23"/>
    <mergeCell ref="L24:P24"/>
    <mergeCell ref="L25:P25"/>
    <mergeCell ref="A10:A11"/>
    <mergeCell ref="J10:N10"/>
    <mergeCell ref="J12:N12"/>
    <mergeCell ref="L22:P22"/>
    <mergeCell ref="A1:E1"/>
    <mergeCell ref="C2:I2"/>
    <mergeCell ref="J3:N3"/>
    <mergeCell ref="A4:A5"/>
    <mergeCell ref="J4:N4"/>
    <mergeCell ref="A6:A7"/>
    <mergeCell ref="J6:N6"/>
    <mergeCell ref="A8:A9"/>
    <mergeCell ref="J8:N8"/>
  </mergeCells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10"/>
  <sheetViews>
    <sheetView tabSelected="1" workbookViewId="0">
      <selection activeCell="C16" sqref="C16"/>
    </sheetView>
  </sheetViews>
  <sheetFormatPr defaultRowHeight="15" x14ac:dyDescent="0.25"/>
  <cols>
    <col min="1" max="1" width="39.42578125" customWidth="1"/>
    <col min="2" max="2" width="26.140625" customWidth="1"/>
    <col min="3" max="3" width="29.140625" customWidth="1"/>
  </cols>
  <sheetData>
    <row r="4" spans="1:10" ht="18.75" x14ac:dyDescent="0.3">
      <c r="A4" s="73" t="s">
        <v>144</v>
      </c>
      <c r="B4" s="91" t="s">
        <v>194</v>
      </c>
      <c r="C4" s="91"/>
      <c r="D4" s="94" t="s">
        <v>45</v>
      </c>
      <c r="E4" s="107" t="s">
        <v>46</v>
      </c>
      <c r="F4" s="107" t="s">
        <v>47</v>
      </c>
      <c r="G4" s="107" t="s">
        <v>48</v>
      </c>
      <c r="H4" s="107" t="s">
        <v>49</v>
      </c>
      <c r="I4" s="107" t="s">
        <v>50</v>
      </c>
      <c r="J4" s="107" t="s">
        <v>51</v>
      </c>
    </row>
    <row r="5" spans="1:10" ht="18.75" x14ac:dyDescent="0.3">
      <c r="A5" s="102" t="s">
        <v>67</v>
      </c>
      <c r="B5" s="114" t="s">
        <v>200</v>
      </c>
      <c r="C5" s="57" t="s">
        <v>198</v>
      </c>
      <c r="D5" s="57">
        <v>20</v>
      </c>
      <c r="E5" s="57">
        <v>31</v>
      </c>
      <c r="F5" s="57"/>
      <c r="G5" s="57"/>
      <c r="H5" s="57"/>
      <c r="I5" s="57"/>
      <c r="J5" s="57"/>
    </row>
    <row r="6" spans="1:10" ht="18.75" x14ac:dyDescent="0.3">
      <c r="A6" s="103"/>
      <c r="B6" s="114"/>
      <c r="C6" s="57" t="s">
        <v>199</v>
      </c>
      <c r="D6" s="57"/>
      <c r="E6" s="57"/>
      <c r="F6" s="57"/>
      <c r="G6" s="57"/>
      <c r="H6" s="57"/>
      <c r="I6" s="57"/>
      <c r="J6" s="57"/>
    </row>
    <row r="7" spans="1:10" ht="18.75" x14ac:dyDescent="0.3">
      <c r="A7" s="102" t="s">
        <v>68</v>
      </c>
      <c r="B7" s="114" t="s">
        <v>200</v>
      </c>
      <c r="C7" s="57" t="s">
        <v>198</v>
      </c>
      <c r="D7" s="57">
        <v>17</v>
      </c>
      <c r="E7" s="57">
        <v>10</v>
      </c>
      <c r="F7" s="57"/>
      <c r="G7" s="57"/>
      <c r="H7" s="57"/>
      <c r="I7" s="57"/>
      <c r="J7" s="57"/>
    </row>
    <row r="8" spans="1:10" ht="18.75" x14ac:dyDescent="0.3">
      <c r="A8" s="103"/>
      <c r="B8" s="114"/>
      <c r="C8" s="57" t="s">
        <v>199</v>
      </c>
      <c r="D8" s="57"/>
      <c r="E8" s="57"/>
      <c r="F8" s="57"/>
      <c r="G8" s="57"/>
      <c r="H8" s="57"/>
      <c r="I8" s="57"/>
      <c r="J8" s="57"/>
    </row>
    <row r="9" spans="1:10" ht="18.75" x14ac:dyDescent="0.3">
      <c r="A9" s="86" t="s">
        <v>148</v>
      </c>
      <c r="B9" s="114" t="s">
        <v>200</v>
      </c>
      <c r="C9" s="57" t="s">
        <v>198</v>
      </c>
      <c r="D9" s="57">
        <v>13</v>
      </c>
      <c r="E9" s="57">
        <v>0</v>
      </c>
      <c r="F9" s="57"/>
      <c r="G9" s="57"/>
      <c r="H9" s="57"/>
      <c r="I9" s="57"/>
      <c r="J9" s="57"/>
    </row>
    <row r="10" spans="1:10" ht="18.75" customHeight="1" x14ac:dyDescent="0.3">
      <c r="A10" s="86"/>
      <c r="B10" s="114"/>
      <c r="C10" s="57" t="s">
        <v>199</v>
      </c>
      <c r="D10" s="9"/>
      <c r="E10" s="9"/>
      <c r="F10" s="9"/>
      <c r="G10" s="9"/>
      <c r="H10" s="9"/>
      <c r="I10" s="9"/>
      <c r="J10" s="9"/>
    </row>
  </sheetData>
  <mergeCells count="7">
    <mergeCell ref="B4:C4"/>
    <mergeCell ref="B5:B6"/>
    <mergeCell ref="B7:B8"/>
    <mergeCell ref="B9:B10"/>
    <mergeCell ref="A9:A10"/>
    <mergeCell ref="A5:A6"/>
    <mergeCell ref="A7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8"/>
  <sheetViews>
    <sheetView workbookViewId="0">
      <selection activeCell="C11" sqref="C11"/>
    </sheetView>
  </sheetViews>
  <sheetFormatPr defaultRowHeight="15" x14ac:dyDescent="0.25"/>
  <cols>
    <col min="1" max="2" width="21.85546875" customWidth="1"/>
    <col min="3" max="3" width="32.85546875" customWidth="1"/>
    <col min="4" max="4" width="23.7109375" customWidth="1"/>
    <col min="5" max="10" width="20.42578125" customWidth="1"/>
    <col min="11" max="11" width="12.28515625" customWidth="1"/>
  </cols>
  <sheetData>
    <row r="2" spans="1:11" ht="33.75" customHeight="1" x14ac:dyDescent="0.25">
      <c r="C2" s="119" t="s">
        <v>130</v>
      </c>
      <c r="D2" s="119"/>
      <c r="E2" s="119"/>
      <c r="F2" s="119"/>
      <c r="G2" s="119"/>
      <c r="H2" s="119"/>
      <c r="I2" s="119"/>
      <c r="J2" s="119"/>
      <c r="K2" s="119"/>
    </row>
    <row r="3" spans="1:11" s="47" customFormat="1" ht="33.75" customHeight="1" thickBot="1" x14ac:dyDescent="0.3">
      <c r="A3" s="120" t="s">
        <v>201</v>
      </c>
      <c r="B3" s="120" t="s">
        <v>207</v>
      </c>
      <c r="C3" s="129" t="s">
        <v>75</v>
      </c>
      <c r="D3" s="59" t="s">
        <v>123</v>
      </c>
      <c r="E3" s="29" t="s">
        <v>46</v>
      </c>
      <c r="F3" s="29" t="s">
        <v>47</v>
      </c>
      <c r="G3" s="29" t="s">
        <v>48</v>
      </c>
      <c r="H3" s="29" t="s">
        <v>49</v>
      </c>
      <c r="I3" s="29" t="s">
        <v>50</v>
      </c>
      <c r="J3" s="29" t="s">
        <v>51</v>
      </c>
      <c r="K3" s="29" t="s">
        <v>129</v>
      </c>
    </row>
    <row r="4" spans="1:11" ht="23.25" customHeight="1" x14ac:dyDescent="0.3">
      <c r="A4" s="123" t="s">
        <v>203</v>
      </c>
      <c r="B4" s="126">
        <v>13620</v>
      </c>
      <c r="C4" s="130" t="s">
        <v>73</v>
      </c>
      <c r="D4" s="128">
        <v>82</v>
      </c>
      <c r="E4" s="71">
        <v>43</v>
      </c>
      <c r="F4" s="71"/>
      <c r="G4" s="71"/>
      <c r="H4" s="71"/>
      <c r="I4" s="48"/>
      <c r="J4" s="48"/>
      <c r="K4" s="49"/>
    </row>
    <row r="5" spans="1:11" ht="27.75" customHeight="1" thickBot="1" x14ac:dyDescent="0.35">
      <c r="A5" s="124"/>
      <c r="B5" s="127"/>
      <c r="C5" s="131" t="s">
        <v>76</v>
      </c>
      <c r="D5" s="128"/>
      <c r="E5" s="71"/>
      <c r="F5" s="71"/>
      <c r="G5" s="71"/>
      <c r="H5" s="71"/>
      <c r="I5" s="48"/>
      <c r="J5" s="48"/>
      <c r="K5" s="49"/>
    </row>
    <row r="6" spans="1:11" ht="18.75" x14ac:dyDescent="0.3">
      <c r="A6" s="123" t="s">
        <v>202</v>
      </c>
      <c r="B6" s="126">
        <v>6932</v>
      </c>
      <c r="C6" s="135" t="s">
        <v>71</v>
      </c>
      <c r="D6" s="128">
        <v>48</v>
      </c>
      <c r="E6" s="71">
        <v>39</v>
      </c>
      <c r="F6" s="71"/>
      <c r="G6" s="71"/>
      <c r="H6" s="71"/>
      <c r="I6" s="48"/>
      <c r="J6" s="48"/>
      <c r="K6" s="49"/>
    </row>
    <row r="7" spans="1:11" ht="19.5" thickBot="1" x14ac:dyDescent="0.35">
      <c r="A7" s="124"/>
      <c r="B7" s="127"/>
      <c r="C7" s="136"/>
      <c r="D7" s="128"/>
      <c r="E7" s="71"/>
      <c r="F7" s="71"/>
      <c r="G7" s="71"/>
      <c r="H7" s="71"/>
      <c r="I7" s="48"/>
      <c r="J7" s="48"/>
      <c r="K7" s="49"/>
    </row>
    <row r="8" spans="1:11" ht="23.25" customHeight="1" x14ac:dyDescent="0.3">
      <c r="A8" s="123" t="s">
        <v>204</v>
      </c>
      <c r="B8" s="126">
        <v>7844</v>
      </c>
      <c r="C8" s="130" t="s">
        <v>131</v>
      </c>
      <c r="D8" s="128">
        <v>74</v>
      </c>
      <c r="E8" s="71">
        <v>80</v>
      </c>
      <c r="F8" s="71"/>
      <c r="G8" s="71"/>
      <c r="H8" s="71"/>
      <c r="I8" s="48"/>
      <c r="J8" s="48"/>
      <c r="K8" s="49"/>
    </row>
    <row r="9" spans="1:11" ht="23.25" customHeight="1" thickBot="1" x14ac:dyDescent="0.35">
      <c r="A9" s="124"/>
      <c r="B9" s="127"/>
      <c r="C9" s="131" t="s">
        <v>208</v>
      </c>
      <c r="D9" s="128"/>
      <c r="E9" s="71"/>
      <c r="F9" s="71"/>
      <c r="G9" s="71"/>
      <c r="H9" s="71"/>
      <c r="I9" s="48"/>
      <c r="J9" s="48"/>
      <c r="K9" s="49"/>
    </row>
    <row r="10" spans="1:11" ht="23.25" customHeight="1" x14ac:dyDescent="0.3">
      <c r="A10" s="123" t="s">
        <v>205</v>
      </c>
      <c r="B10" s="126">
        <v>6307</v>
      </c>
      <c r="C10" s="133" t="s">
        <v>70</v>
      </c>
      <c r="D10" s="132">
        <v>76</v>
      </c>
      <c r="E10" s="49">
        <v>44</v>
      </c>
      <c r="F10" s="48"/>
      <c r="G10" s="48"/>
      <c r="H10" s="48"/>
      <c r="I10" s="48"/>
      <c r="J10" s="48"/>
      <c r="K10" s="49"/>
    </row>
    <row r="11" spans="1:11" ht="23.25" customHeight="1" thickBot="1" x14ac:dyDescent="0.35">
      <c r="A11" s="124"/>
      <c r="B11" s="127"/>
      <c r="C11" s="134" t="s">
        <v>72</v>
      </c>
      <c r="D11" s="132"/>
      <c r="E11" s="49"/>
      <c r="F11" s="48"/>
      <c r="G11" s="48"/>
      <c r="H11" s="48"/>
      <c r="I11" s="48"/>
      <c r="J11" s="48"/>
      <c r="K11" s="49"/>
    </row>
    <row r="12" spans="1:11" ht="18.75" x14ac:dyDescent="0.3">
      <c r="A12" s="123" t="s">
        <v>206</v>
      </c>
      <c r="B12" s="126">
        <v>7665</v>
      </c>
      <c r="C12" s="138" t="s">
        <v>74</v>
      </c>
      <c r="D12" s="132">
        <v>73</v>
      </c>
      <c r="E12" s="49">
        <v>15</v>
      </c>
      <c r="F12" s="48"/>
      <c r="G12" s="48"/>
      <c r="H12" s="48"/>
      <c r="I12" s="48"/>
      <c r="J12" s="48"/>
      <c r="K12" s="49" t="s">
        <v>77</v>
      </c>
    </row>
    <row r="13" spans="1:11" ht="23.25" customHeight="1" thickBot="1" x14ac:dyDescent="0.35">
      <c r="A13" s="124"/>
      <c r="B13" s="127"/>
      <c r="C13" s="139"/>
      <c r="D13" s="132"/>
      <c r="E13" s="49"/>
      <c r="F13" s="48"/>
      <c r="G13" s="48"/>
      <c r="H13" s="48"/>
      <c r="I13" s="48"/>
      <c r="J13" s="48"/>
      <c r="K13" s="49"/>
    </row>
    <row r="14" spans="1:11" ht="18.75" x14ac:dyDescent="0.3">
      <c r="A14" s="32"/>
      <c r="B14" s="108"/>
      <c r="C14" s="137"/>
      <c r="D14" s="64">
        <v>42</v>
      </c>
      <c r="E14" s="49">
        <v>71</v>
      </c>
      <c r="F14" s="48"/>
      <c r="G14" s="48"/>
      <c r="H14" s="48"/>
      <c r="I14" s="48"/>
      <c r="J14" s="48"/>
      <c r="K14" s="49" t="s">
        <v>77</v>
      </c>
    </row>
    <row r="15" spans="1:11" ht="19.5" thickBot="1" x14ac:dyDescent="0.35">
      <c r="A15" s="69" t="s">
        <v>209</v>
      </c>
      <c r="B15" s="125">
        <v>42368</v>
      </c>
      <c r="C15" s="115"/>
      <c r="D15" s="116"/>
      <c r="E15" s="117"/>
      <c r="F15" s="118"/>
      <c r="G15" s="118"/>
      <c r="H15" s="118"/>
      <c r="I15" s="118"/>
      <c r="J15" s="118"/>
      <c r="K15" s="117"/>
    </row>
    <row r="16" spans="1:11" ht="21.75" customHeight="1" thickBot="1" x14ac:dyDescent="0.35">
      <c r="A16" s="111"/>
      <c r="B16" s="111"/>
      <c r="C16" s="121"/>
      <c r="D16" s="122"/>
      <c r="E16" s="122"/>
      <c r="F16" s="122"/>
      <c r="G16" s="122"/>
      <c r="H16" s="122"/>
      <c r="I16" s="122"/>
      <c r="J16" s="122"/>
      <c r="K16" s="122"/>
    </row>
    <row r="17" spans="3:4" ht="18.75" x14ac:dyDescent="0.25">
      <c r="C17" s="115"/>
    </row>
    <row r="18" spans="3:4" ht="16.5" customHeight="1" x14ac:dyDescent="0.25">
      <c r="C18" s="69"/>
      <c r="D18" s="68"/>
    </row>
  </sheetData>
  <mergeCells count="13">
    <mergeCell ref="A12:A13"/>
    <mergeCell ref="A10:A11"/>
    <mergeCell ref="A8:A9"/>
    <mergeCell ref="A6:A7"/>
    <mergeCell ref="A4:A5"/>
    <mergeCell ref="C2:K2"/>
    <mergeCell ref="B4:B5"/>
    <mergeCell ref="B6:B7"/>
    <mergeCell ref="B8:B9"/>
    <mergeCell ref="B12:B13"/>
    <mergeCell ref="B10:B11"/>
    <mergeCell ref="C6:C7"/>
    <mergeCell ref="C12:C13"/>
  </mergeCells>
  <pageMargins left="0.7" right="0.7" top="0.75" bottom="0.75" header="0.3" footer="0.3"/>
  <pageSetup paperSize="9" scale="69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DOT 2 - 23-7</vt:lpstr>
      <vt:lpstr>DOT 3 - 1-8</vt:lpstr>
      <vt:lpstr>LỤC HS</vt:lpstr>
      <vt:lpstr>SCAN HS</vt:lpstr>
      <vt:lpstr>KHONG GIAN</vt:lpstr>
      <vt:lpstr>'DOT 2 - 23-7'!Print_Area</vt:lpstr>
      <vt:lpstr>'DOT 3 - 1-8'!Print_Area</vt:lpstr>
      <vt:lpstr>'KHONG GIAN'!Print_Area</vt:lpstr>
      <vt:lpstr>'LỤC HS'!Print_Area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vpd</dc:creator>
  <cp:lastModifiedBy>vpd</cp:lastModifiedBy>
  <cp:lastPrinted>2026-08-05T07:15:15Z</cp:lastPrinted>
  <dcterms:created xsi:type="dcterms:W3CDTF">2026-08-03T03:38:59Z</dcterms:created>
  <dcterms:modified xsi:type="dcterms:W3CDTF">2026-08-07T08:42:38Z</dcterms:modified>
</cp:coreProperties>
</file>