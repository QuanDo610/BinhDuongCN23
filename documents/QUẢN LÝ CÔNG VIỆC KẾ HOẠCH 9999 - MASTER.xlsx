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C TIEU" sheetId="1" state="visible" r:id="rId1"/>
    <sheet name="NHAT KY" sheetId="2" state="visible" r:id="rId2"/>
    <sheet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20" customWidth="1" min="3" max="3"/>
    <col width="12" customWidth="1" min="4" max="4"/>
    <col width="35" customWidth="1" min="5" max="5"/>
  </cols>
  <sheetData>
    <row r="1">
      <c r="A1" s="1" t="inlineStr">
        <is>
          <t>STT</t>
        </is>
      </c>
      <c r="B1" s="1" t="inlineStr">
        <is>
          <t>Họ và Tên</t>
        </is>
      </c>
      <c r="C1" s="1" t="inlineStr">
        <is>
          <t>Phường/Xã</t>
        </is>
      </c>
      <c r="D1" s="1" t="inlineStr">
        <is>
          <t>Nhiệm vụ</t>
        </is>
      </c>
      <c r="E1" s="1" t="inlineStr">
        <is>
          <t>Tổng khối lượng giao (Thửa/Hồ sơ)</t>
        </is>
      </c>
    </row>
    <row r="2">
      <c r="A2" t="n">
        <v>1</v>
      </c>
      <c r="B2" t="inlineStr">
        <is>
          <t>Nguyễn Thị Thùy Trang</t>
        </is>
      </c>
      <c r="C2" t="inlineStr">
        <is>
          <t>Phường Thủ Dầu Một</t>
        </is>
      </c>
      <c r="D2" t="inlineStr">
        <is>
          <t>Rà soát</t>
        </is>
      </c>
      <c r="E2" t="n">
        <v>2126</v>
      </c>
    </row>
    <row r="3">
      <c r="A3" t="n">
        <v>2</v>
      </c>
      <c r="B3" t="inlineStr">
        <is>
          <t>Nguyễn Trung Thành</t>
        </is>
      </c>
      <c r="C3" t="inlineStr">
        <is>
          <t>Phường Thủ Dầu Một</t>
        </is>
      </c>
      <c r="D3" t="inlineStr">
        <is>
          <t>Rà soát</t>
        </is>
      </c>
      <c r="E3" t="n">
        <v>2126</v>
      </c>
    </row>
    <row r="4">
      <c r="A4" t="n">
        <v>3</v>
      </c>
      <c r="B4" t="inlineStr">
        <is>
          <t>Huỳnh Thành Duy</t>
        </is>
      </c>
      <c r="C4" t="inlineStr">
        <is>
          <t>Kho lưu trữ</t>
        </is>
      </c>
      <c r="D4" t="inlineStr">
        <is>
          <t>Lục hồ sơ</t>
        </is>
      </c>
      <c r="E4" t="n">
        <v>4371</v>
      </c>
    </row>
    <row r="5">
      <c r="A5" t="n">
        <v>4</v>
      </c>
      <c r="B5" t="inlineStr">
        <is>
          <t>Nguyễn Nhật Quyền Trinh</t>
        </is>
      </c>
      <c r="C5" t="inlineStr">
        <is>
          <t>Kho lưu trữ</t>
        </is>
      </c>
      <c r="D5" t="inlineStr">
        <is>
          <t>Scan hồ sơ</t>
        </is>
      </c>
      <c r="E5" t="n">
        <v>4371</v>
      </c>
    </row>
    <row r="6">
      <c r="A6" t="n">
        <v>5</v>
      </c>
      <c r="B6" t="inlineStr">
        <is>
          <t>Nguyễn Anh Khôi</t>
        </is>
      </c>
      <c r="C6" t="inlineStr">
        <is>
          <t>Bình Dương</t>
        </is>
      </c>
      <c r="D6" t="inlineStr">
        <is>
          <t>Không gian</t>
        </is>
      </c>
      <c r="E6" t="n">
        <v>13620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16" customWidth="1" min="3" max="3"/>
    <col width="22" customWidth="1" min="4" max="4"/>
    <col width="34" customWidth="1" min="5" max="5"/>
    <col width="12" customWidth="1" min="6" max="6"/>
  </cols>
  <sheetData>
    <row r="1">
      <c r="A1" s="1" t="inlineStr">
        <is>
          <t>Ngày thực hiện</t>
        </is>
      </c>
      <c r="B1" s="1" t="inlineStr">
        <is>
          <t>Họ và Tên</t>
        </is>
      </c>
      <c r="C1" s="1" t="inlineStr">
        <is>
          <t>Loại công việc</t>
        </is>
      </c>
      <c r="D1" s="1" t="inlineStr">
        <is>
          <t>Chi tiết công việc</t>
        </is>
      </c>
      <c r="E1" s="1" t="inlineStr">
        <is>
          <t>Khối lượng hoàn thành (Số lượng)</t>
        </is>
      </c>
      <c r="F1" s="1" t="inlineStr">
        <is>
          <t>Ghi chú</t>
        </is>
      </c>
    </row>
    <row r="2">
      <c r="A2" t="inlineStr">
        <is>
          <t>10/08/2026</t>
        </is>
      </c>
      <c r="B2" t="inlineStr">
        <is>
          <t>Nguyễn Thị Thùy Trang</t>
        </is>
      </c>
      <c r="C2" t="inlineStr">
        <is>
          <t>Rà soát</t>
        </is>
      </c>
      <c r="D2" t="inlineStr">
        <is>
          <t>Rà gửi lục</t>
        </is>
      </c>
      <c r="E2" t="n">
        <v>108</v>
      </c>
      <c r="F2" t="inlineStr">
        <is>
          <t>Thử nghiệm</t>
        </is>
      </c>
    </row>
    <row r="3">
      <c r="A3" t="inlineStr">
        <is>
          <t>10/08/2026</t>
        </is>
      </c>
      <c r="B3" t="inlineStr">
        <is>
          <t>Nguyễn Thị Thùy Trang</t>
        </is>
      </c>
      <c r="C3" t="inlineStr">
        <is>
          <t>Rà soát</t>
        </is>
      </c>
      <c r="D3" t="inlineStr">
        <is>
          <t>Cập nhật lên nhóm 1</t>
        </is>
      </c>
      <c r="E3" t="n">
        <v>46</v>
      </c>
      <c r="F3" t="inlineStr">
        <is>
          <t>Thử nghiệm</t>
        </is>
      </c>
    </row>
    <row r="4">
      <c r="A4" t="inlineStr">
        <is>
          <t>10/08/2026</t>
        </is>
      </c>
      <c r="B4" t="inlineStr">
        <is>
          <t>Huỳnh Thành Duy</t>
        </is>
      </c>
      <c r="C4" t="inlineStr">
        <is>
          <t>Lục hồ sơ</t>
        </is>
      </c>
      <c r="D4" t="inlineStr">
        <is>
          <t>Đã lục giao lên scan</t>
        </is>
      </c>
      <c r="E4" t="n">
        <v>120</v>
      </c>
      <c r="F4" t="inlineStr"/>
    </row>
  </sheetData>
  <dataValidations count="3">
    <dataValidation sqref="B2:B1000" showDropDown="0" showInputMessage="0" showErrorMessage="0" allowBlank="1" type="list">
      <formula1>="Nguyễn Thị Thùy Trang,Nguyễn Trung Thành,Huỳnh Thành Duy,Nguyễn Nhật Quyền Trinh,Nguyễn Anh Khôi"</formula1>
    </dataValidation>
    <dataValidation sqref="C2:C1000" showDropDown="0" showInputMessage="0" showErrorMessage="0" allowBlank="1" type="list">
      <formula1>="Rà soát,Lục hồ sơ,Scan hồ sơ,Không gian"</formula1>
    </dataValidation>
    <dataValidation sqref="D2:D1000" showDropDown="0" showInputMessage="0" showErrorMessage="0" allowBlank="1" type="list">
      <formula1>="Rà gửi lục,Cập nhật lên nhóm 1,Đã lục giao lên scan,Đã scan từ kho lục lên,Chỉnh lý thiếu không gian"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22" customWidth="1" min="3" max="3"/>
    <col width="40" customWidth="1" min="4" max="4"/>
    <col width="20" customWidth="1" min="5" max="5"/>
    <col width="21" customWidth="1" min="6" max="6"/>
  </cols>
  <sheetData>
    <row r="1">
      <c r="A1" t="inlineStr">
        <is>
          <t>BÁO CÁO TỔNG HỢP TIẾN ĐỘ CÔNG VIỆC</t>
        </is>
      </c>
    </row>
    <row r="2"/>
    <row r="3">
      <c r="A3" s="1" t="inlineStr">
        <is>
          <t>Họ và Tên</t>
        </is>
      </c>
      <c r="B3" s="1" t="inlineStr">
        <is>
          <t>Nhiệm vụ</t>
        </is>
      </c>
      <c r="C3" s="1" t="inlineStr">
        <is>
          <t>Tổng khối lượng giao</t>
        </is>
      </c>
      <c r="D3" s="1" t="inlineStr">
        <is>
          <t>Khối lượng ĐÃ LÀM</t>
        </is>
      </c>
      <c r="E3" s="1" t="inlineStr">
        <is>
          <t>Khối lượng CÒN LẠI</t>
        </is>
      </c>
      <c r="F3" s="1" t="inlineStr">
        <is>
          <t>% Hoàn thành</t>
        </is>
      </c>
    </row>
    <row r="4">
      <c r="A4" t="inlineStr">
        <is>
          <t>Nguyễn Thị Thùy Trang</t>
        </is>
      </c>
      <c r="B4" t="inlineStr">
        <is>
          <t>Rà soát</t>
        </is>
      </c>
      <c r="C4" t="n">
        <v>2126</v>
      </c>
      <c r="D4">
        <f>SUMIFS('NHAT KY'!E:E, 'NHAT KY'!B:B, A4, 'NHAT KY'!C:C, B4)</f>
        <v/>
      </c>
      <c r="E4">
        <f>C4-D4</f>
        <v/>
      </c>
      <c r="F4" s="2">
        <f>IF(C4=0, 0, D4/C4)</f>
        <v/>
      </c>
    </row>
    <row r="5">
      <c r="A5" t="inlineStr">
        <is>
          <t>Nguyễn Trung Thành</t>
        </is>
      </c>
      <c r="B5" t="inlineStr">
        <is>
          <t>Rà soát</t>
        </is>
      </c>
      <c r="C5" t="n">
        <v>2126</v>
      </c>
      <c r="D5">
        <f>SUMIFS('NHAT KY'!E:E, 'NHAT KY'!B:B, A5, 'NHAT KY'!C:C, B5)</f>
        <v/>
      </c>
      <c r="E5">
        <f>C5-D5</f>
        <v/>
      </c>
      <c r="F5" s="2">
        <f>IF(C5=0, 0, D5/C5)</f>
        <v/>
      </c>
    </row>
    <row r="6">
      <c r="A6" t="inlineStr">
        <is>
          <t>Huỳnh Thành Duy</t>
        </is>
      </c>
      <c r="B6" t="inlineStr">
        <is>
          <t>Lục hồ sơ</t>
        </is>
      </c>
      <c r="C6" t="n">
        <v>4371</v>
      </c>
      <c r="D6">
        <f>SUMIFS('NHAT KY'!E:E, 'NHAT KY'!B:B, A6, 'NHAT KY'!C:C, B6)</f>
        <v/>
      </c>
      <c r="E6">
        <f>C6-D6</f>
        <v/>
      </c>
      <c r="F6" s="2">
        <f>IF(C6=0, 0, D6/C6)</f>
        <v/>
      </c>
    </row>
    <row r="7">
      <c r="A7" t="inlineStr">
        <is>
          <t>Nguyễn Nhật Quyền Trinh</t>
        </is>
      </c>
      <c r="B7" t="inlineStr">
        <is>
          <t>Scan hồ sơ</t>
        </is>
      </c>
      <c r="C7" t="n">
        <v>4371</v>
      </c>
      <c r="D7">
        <f>SUMIFS('NHAT KY'!E:E, 'NHAT KY'!B:B, A7, 'NHAT KY'!C:C, B7)</f>
        <v/>
      </c>
      <c r="E7">
        <f>C7-D7</f>
        <v/>
      </c>
      <c r="F7" s="2">
        <f>IF(C7=0, 0, D7/C7)</f>
        <v/>
      </c>
    </row>
    <row r="8">
      <c r="A8" t="inlineStr">
        <is>
          <t>Nguyễn Anh Khôi</t>
        </is>
      </c>
      <c r="B8" t="inlineStr">
        <is>
          <t>Không gian</t>
        </is>
      </c>
      <c r="C8" t="n">
        <v>13620</v>
      </c>
      <c r="D8">
        <f>SUMIFS('NHAT KY'!E:E, 'NHAT KY'!B:B, A8, 'NHAT KY'!C:C, B8)</f>
        <v/>
      </c>
      <c r="E8">
        <f>C8-D8</f>
        <v/>
      </c>
      <c r="F8" s="2">
        <f>IF(C8=0, 0, D8/C8)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2026-08-10T07:27:56Z</dcterms:created>
  <dcterms:modified xsi:type="dcterms:W3CDTF">2026-08-10T07:27:56Z</dcterms:modified>
</cp:coreProperties>
</file>