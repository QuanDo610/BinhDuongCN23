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HanhChinh\Tien\báo cáo THHC tháng 7-8\"/>
    </mc:Choice>
  </mc:AlternateContent>
  <bookViews>
    <workbookView xWindow="0" yWindow="0" windowWidth="23940" windowHeight="9540"/>
  </bookViews>
  <sheets>
    <sheet name="hãy tạo 1 biểu excel từ các thô" sheetId="1" r:id="rId1"/>
    <sheet name="Trang tính1" sheetId="2" r:id="rId2"/>
  </sheets>
  <calcPr calcId="162913"/>
  <extLst>
    <ext uri="GoogleSheetsCustomDataVersion2">
      <go:sheetsCustomData xmlns:go="http://customooxmlschemas.google.com/" r:id="rId6" roundtripDataChecksum="OHia1QB/pSAZP6c4TpTZlbQ5kVqZY+dVqvpQDx+31Vo="/>
    </ext>
  </extLst>
</workbook>
</file>

<file path=xl/calcChain.xml><?xml version="1.0" encoding="utf-8"?>
<calcChain xmlns="http://schemas.openxmlformats.org/spreadsheetml/2006/main">
  <c r="B24" i="1" l="1"/>
  <c r="B2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22" i="1"/>
  <c r="C21" i="1" l="1"/>
  <c r="B27" i="1"/>
  <c r="C16" i="1"/>
  <c r="D9" i="1"/>
  <c r="C9" i="1"/>
  <c r="D32" i="1"/>
  <c r="D31" i="1"/>
  <c r="C31" i="1"/>
  <c r="D28" i="1"/>
  <c r="D27" i="1"/>
  <c r="D26" i="1"/>
  <c r="D25" i="1"/>
  <c r="D24" i="1"/>
  <c r="D22" i="1"/>
  <c r="C28" i="1"/>
  <c r="C27" i="1"/>
  <c r="C24" i="1"/>
  <c r="C22" i="1"/>
  <c r="D18" i="1"/>
  <c r="D17" i="1"/>
  <c r="C18" i="1"/>
  <c r="C17" i="1"/>
  <c r="D13" i="1"/>
  <c r="D12" i="1"/>
  <c r="D11" i="1"/>
  <c r="D10" i="1"/>
  <c r="C13" i="1"/>
  <c r="C12" i="1"/>
  <c r="C11" i="1"/>
  <c r="C10" i="1"/>
  <c r="D6" i="1"/>
  <c r="D5" i="1"/>
  <c r="C6" i="1"/>
  <c r="C5" i="1"/>
</calcChain>
</file>

<file path=xl/sharedStrings.xml><?xml version="1.0" encoding="utf-8"?>
<sst xmlns="http://schemas.openxmlformats.org/spreadsheetml/2006/main" count="36" uniqueCount="35">
  <si>
    <t>28+14+6</t>
  </si>
  <si>
    <t>Sô tồn kỳ trước</t>
  </si>
  <si>
    <t>Số hồ sơ tiếp nhận</t>
  </si>
  <si>
    <t>Số hồ sơ đã giải quyết</t>
  </si>
  <si>
    <t>Số hồ sơ chưa giải quyết</t>
  </si>
  <si>
    <t>Công tác cấp GCN và GDBĐ</t>
  </si>
  <si>
    <t>1. Công tác đăng ký biến động nhà đất</t>
  </si>
  <si>
    <t>a) Cấp GCN cho người nhận chuyển nhượng tại các dự án</t>
  </si>
  <si>
    <t>b) Cấp GCN mới + Trình cấp GCN</t>
  </si>
  <si>
    <t>c) Đăng ký xác nhận thay đổi chủ sở hữu (Xác nhận trên GCN)</t>
  </si>
  <si>
    <t>Đơn xin rút hoặc trả hồ sơ (mục 1b, 1c)</t>
  </si>
  <si>
    <t>2. Đăng ký Giao dịch Bảo đảm (Mẫu 01)</t>
  </si>
  <si>
    <t xml:space="preserve">Tổng số </t>
  </si>
  <si>
    <t>Thế chấp</t>
  </si>
  <si>
    <t>Xóa Thế chấp</t>
  </si>
  <si>
    <t>Văn bản thông báo</t>
  </si>
  <si>
    <t>Đăng ký thay đổi</t>
  </si>
  <si>
    <t>Loại khác</t>
  </si>
  <si>
    <t>3. Các loại đăng ký biến động khác</t>
  </si>
  <si>
    <t>Cập nhật số nhà, CCCD mới, thay đổi họ tên, năm sinh, v.v.</t>
  </si>
  <si>
    <t xml:space="preserve"> Xóa nợ tiền sử dụng đất</t>
  </si>
  <si>
    <t>Đơn xin rút hoặc trả hồ sơ</t>
  </si>
  <si>
    <t>Hồ sơ kỹ thuật địa chính</t>
  </si>
  <si>
    <t>Tổng số</t>
  </si>
  <si>
    <t>1. Công tác đo vẽ hiện trạng</t>
  </si>
  <si>
    <t>2. Xác nhận hồ sơ vị trí đất, cho thửa chính thức</t>
  </si>
  <si>
    <t>3. Kiểm tra bản vẽ (của các Công ty đo vẽ)</t>
  </si>
  <si>
    <t xml:space="preserve">           Đạt yêu cầu</t>
  </si>
  <si>
    <t xml:space="preserve">           Không đạt</t>
  </si>
  <si>
    <t>4. Xác minh hiện trạng</t>
  </si>
  <si>
    <t>5. Đã trích lục</t>
  </si>
  <si>
    <t>Tổng hợp cung cấp thông tin</t>
  </si>
  <si>
    <t>Tổng số hồ sơ</t>
  </si>
  <si>
    <t>Cung cấp thông tin cho hộ gia đình, cá nhân</t>
  </si>
  <si>
    <t>Cung cấp thông tin hỗ trợ tư pháp và các cơ quan ban ngành khác (Tòa án, Thi hành án, Công an, Chi cục Thuế…)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</si>
</sst>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rgb="FF000000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C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3" fillId="3" borderId="0" xfId="0" applyFont="1" applyFill="1"/>
    <xf numFmtId="0" fontId="0" fillId="3" borderId="0" xfId="0" applyFont="1" applyFill="1" applyAlignment="1"/>
    <xf numFmtId="0" fontId="4" fillId="3" borderId="1" xfId="0" applyFont="1" applyFill="1" applyBorder="1"/>
    <xf numFmtId="0" fontId="4" fillId="3" borderId="0" xfId="0" applyFont="1" applyFill="1"/>
    <xf numFmtId="0" fontId="5" fillId="4" borderId="1" xfId="0" applyFont="1" applyFill="1" applyBorder="1"/>
    <xf numFmtId="0" fontId="3" fillId="4" borderId="1" xfId="0" applyFont="1" applyFill="1" applyBorder="1"/>
    <xf numFmtId="0" fontId="6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5" fillId="5" borderId="1" xfId="0" applyFont="1" applyFill="1" applyBorder="1"/>
    <xf numFmtId="0" fontId="3" fillId="3" borderId="1" xfId="0" applyFont="1" applyFill="1" applyBorder="1" applyAlignment="1"/>
    <xf numFmtId="0" fontId="3" fillId="5" borderId="1" xfId="0" applyFont="1" applyFill="1" applyBorder="1" applyAlignment="1"/>
    <xf numFmtId="0" fontId="6" fillId="3" borderId="0" xfId="0" applyFont="1" applyFill="1" applyAlignment="1"/>
    <xf numFmtId="0" fontId="3" fillId="6" borderId="1" xfId="0" applyFont="1" applyFill="1" applyBorder="1" applyAlignment="1"/>
    <xf numFmtId="0" fontId="3" fillId="3" borderId="1" xfId="0" applyFont="1" applyFill="1" applyBorder="1"/>
    <xf numFmtId="0" fontId="5" fillId="3" borderId="1" xfId="0" applyFont="1" applyFill="1" applyBorder="1"/>
    <xf numFmtId="0" fontId="5" fillId="7" borderId="1" xfId="0" applyFont="1" applyFill="1" applyBorder="1"/>
    <xf numFmtId="0" fontId="3" fillId="7" borderId="1" xfId="0" applyFont="1" applyFill="1" applyBorder="1"/>
    <xf numFmtId="0" fontId="5" fillId="7" borderId="1" xfId="0" applyFont="1" applyFill="1" applyBorder="1" applyAlignment="1"/>
    <xf numFmtId="0" fontId="3" fillId="7" borderId="1" xfId="0" applyFont="1" applyFill="1" applyBorder="1" applyAlignment="1"/>
    <xf numFmtId="0" fontId="3" fillId="7" borderId="2" xfId="0" applyFont="1" applyFill="1" applyBorder="1"/>
    <xf numFmtId="0" fontId="3" fillId="7" borderId="3" xfId="0" applyFont="1" applyFill="1" applyBorder="1"/>
    <xf numFmtId="0" fontId="5" fillId="3" borderId="0" xfId="0" applyFont="1" applyFill="1"/>
    <xf numFmtId="0" fontId="1" fillId="3" borderId="1" xfId="0" applyFont="1" applyFill="1" applyBorder="1"/>
    <xf numFmtId="0" fontId="5" fillId="8" borderId="1" xfId="0" applyFont="1" applyFill="1" applyBorder="1"/>
    <xf numFmtId="0" fontId="5" fillId="8" borderId="1" xfId="0" applyFont="1" applyFill="1" applyBorder="1" applyAlignment="1"/>
    <xf numFmtId="0" fontId="3" fillId="8" borderId="1" xfId="0" applyFont="1" applyFill="1" applyBorder="1" applyAlignment="1"/>
    <xf numFmtId="0" fontId="2" fillId="3" borderId="1" xfId="0" applyFont="1" applyFill="1" applyBorder="1"/>
    <xf numFmtId="0" fontId="5" fillId="9" borderId="1" xfId="0" applyFont="1" applyFill="1" applyBorder="1"/>
    <xf numFmtId="0" fontId="5" fillId="4" borderId="1" xfId="0" applyFont="1" applyFill="1" applyBorder="1" applyAlignment="1"/>
    <xf numFmtId="0" fontId="5" fillId="4" borderId="2" xfId="0" applyFont="1" applyFill="1" applyBorder="1"/>
    <xf numFmtId="0" fontId="5" fillId="4" borderId="3" xfId="0" applyFont="1" applyFill="1" applyBorder="1"/>
    <xf numFmtId="0" fontId="7" fillId="3" borderId="0" xfId="0" applyFont="1" applyFill="1" applyAlignment="1">
      <alignment horizontal="right"/>
    </xf>
    <xf numFmtId="0" fontId="5" fillId="9" borderId="1" xfId="0" applyFont="1" applyFill="1" applyBorder="1" applyAlignment="1"/>
    <xf numFmtId="0" fontId="5" fillId="9" borderId="1" xfId="0" applyFont="1" applyFill="1" applyBorder="1" applyAlignment="1">
      <alignment horizontal="left"/>
    </xf>
    <xf numFmtId="0" fontId="3" fillId="5" borderId="5" xfId="0" applyFont="1" applyFill="1" applyBorder="1" applyAlignment="1"/>
    <xf numFmtId="0" fontId="6" fillId="3" borderId="6" xfId="0" applyFont="1" applyFill="1" applyBorder="1"/>
    <xf numFmtId="0" fontId="6" fillId="3" borderId="7" xfId="0" applyFont="1" applyFill="1" applyBorder="1"/>
    <xf numFmtId="0" fontId="0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zoomScale="85" zoomScaleNormal="85" workbookViewId="0">
      <selection activeCell="G18" sqref="G18"/>
    </sheetView>
  </sheetViews>
  <sheetFormatPr defaultColWidth="12.5703125" defaultRowHeight="15" customHeight="1"/>
  <cols>
    <col min="1" max="1" width="55.42578125" style="5" customWidth="1"/>
    <col min="2" max="2" width="17.42578125" style="5" customWidth="1"/>
    <col min="3" max="3" width="45.42578125" style="5" customWidth="1"/>
    <col min="4" max="4" width="67.85546875" style="5" customWidth="1"/>
    <col min="5" max="5" width="22.5703125" style="5" customWidth="1"/>
    <col min="6" max="7" width="12.5703125" style="5" customWidth="1"/>
    <col min="8" max="16384" width="12.5703125" style="5"/>
  </cols>
  <sheetData>
    <row r="1" spans="1:26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6" t="s">
        <v>5</v>
      </c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8" t="s">
        <v>6</v>
      </c>
      <c r="B3" s="9"/>
      <c r="C3" s="9"/>
      <c r="D3" s="9"/>
      <c r="E3" s="4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>
      <c r="A4" s="13" t="s">
        <v>7</v>
      </c>
      <c r="B4" s="14"/>
      <c r="C4" s="15"/>
      <c r="D4" s="39"/>
      <c r="E4" s="4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13" t="s">
        <v>8</v>
      </c>
      <c r="B5" s="14"/>
      <c r="C5" s="16">
        <f>25+26+92+70+35+18+106+83+158+143+21+155</f>
        <v>932</v>
      </c>
      <c r="D5" s="17">
        <f>20+26+82+100+15+21+93+87+121+32+100</f>
        <v>697</v>
      </c>
      <c r="E5" s="41">
        <f>B5+C5-D5</f>
        <v>235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13" t="s">
        <v>9</v>
      </c>
      <c r="B6" s="14"/>
      <c r="C6" s="15">
        <f>2+3+1+3+3</f>
        <v>12</v>
      </c>
      <c r="D6" s="15">
        <f>6+1+2+2</f>
        <v>11</v>
      </c>
      <c r="E6" s="10">
        <f t="shared" ref="E6:E32" si="0">B6+C6-D6</f>
        <v>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13" t="s">
        <v>10</v>
      </c>
      <c r="B7" s="18"/>
      <c r="C7" s="15"/>
      <c r="D7" s="15"/>
      <c r="E7" s="10">
        <f t="shared" si="0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19" t="s">
        <v>11</v>
      </c>
      <c r="B8" s="18"/>
      <c r="C8" s="18"/>
      <c r="D8" s="18"/>
      <c r="E8" s="10">
        <f t="shared" si="0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8" t="s">
        <v>12</v>
      </c>
      <c r="B9" s="9"/>
      <c r="C9" s="9">
        <f>SUM(C10:C13)</f>
        <v>856</v>
      </c>
      <c r="D9" s="9">
        <f>SUM(D10:D13)</f>
        <v>766</v>
      </c>
      <c r="E9" s="10">
        <f t="shared" si="0"/>
        <v>90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20" t="s">
        <v>13</v>
      </c>
      <c r="B10" s="21"/>
      <c r="C10" s="22">
        <f>1+78+77+2+59+76+88+9+6+22</f>
        <v>418</v>
      </c>
      <c r="D10" s="23">
        <f>1+78+77+3+59+76+9+6+22</f>
        <v>331</v>
      </c>
      <c r="E10" s="10">
        <f t="shared" si="0"/>
        <v>87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>
      <c r="A11" s="20" t="s">
        <v>14</v>
      </c>
      <c r="B11" s="21"/>
      <c r="C11" s="22">
        <f>1+3+112+57+2+3+72+59+20+2+12+53</f>
        <v>396</v>
      </c>
      <c r="D11" s="23">
        <f>1+2+112+57+2+4+72+59+20+2+12+53</f>
        <v>396</v>
      </c>
      <c r="E11" s="10">
        <f t="shared" si="0"/>
        <v>0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75" customHeight="1">
      <c r="A12" s="20" t="s">
        <v>15</v>
      </c>
      <c r="B12" s="21"/>
      <c r="C12" s="22">
        <f>1+1+2+1+1+7</f>
        <v>13</v>
      </c>
      <c r="D12" s="23">
        <f>1+1+1+1+6</f>
        <v>10</v>
      </c>
      <c r="E12" s="10">
        <f t="shared" si="0"/>
        <v>3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>
      <c r="A13" s="20" t="s">
        <v>16</v>
      </c>
      <c r="B13" s="21"/>
      <c r="C13" s="22">
        <f>7+10+4+6+2</f>
        <v>29</v>
      </c>
      <c r="D13" s="23">
        <f>7+10+4+6+2</f>
        <v>29</v>
      </c>
      <c r="E13" s="10">
        <f t="shared" si="0"/>
        <v>0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>
      <c r="A14" s="20" t="s">
        <v>17</v>
      </c>
      <c r="B14" s="21"/>
      <c r="C14" s="22"/>
      <c r="D14" s="23"/>
      <c r="E14" s="10">
        <f t="shared" si="0"/>
        <v>0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>
      <c r="A15" s="19" t="s">
        <v>18</v>
      </c>
      <c r="B15" s="19"/>
      <c r="C15" s="19"/>
      <c r="D15" s="19"/>
      <c r="E15" s="10">
        <f t="shared" si="0"/>
        <v>0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>
      <c r="A16" s="8" t="s">
        <v>12</v>
      </c>
      <c r="B16" s="9"/>
      <c r="C16" s="9">
        <f>SUM(C17:C18)</f>
        <v>83</v>
      </c>
      <c r="D16" s="9"/>
      <c r="E16" s="10">
        <f t="shared" si="0"/>
        <v>83</v>
      </c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>
      <c r="A17" s="13" t="s">
        <v>19</v>
      </c>
      <c r="B17" s="18"/>
      <c r="C17" s="15">
        <f>4+5+6+14+3+2+9+3+7+3+8</f>
        <v>64</v>
      </c>
      <c r="D17" s="15">
        <f>3+1+6+3+12+3+7+3+7</f>
        <v>45</v>
      </c>
      <c r="E17" s="10">
        <f t="shared" si="0"/>
        <v>19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3" t="s">
        <v>20</v>
      </c>
      <c r="B18" s="18"/>
      <c r="C18" s="15">
        <f>6+9+2+2</f>
        <v>19</v>
      </c>
      <c r="D18" s="15">
        <f>2+5+6+9+4+2</f>
        <v>28</v>
      </c>
      <c r="E18" s="10">
        <f t="shared" si="0"/>
        <v>-9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3" t="s">
        <v>21</v>
      </c>
      <c r="B19" s="18"/>
      <c r="C19" s="15"/>
      <c r="D19" s="15"/>
      <c r="E19" s="10">
        <f t="shared" si="0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27" t="s">
        <v>22</v>
      </c>
      <c r="B20" s="18"/>
      <c r="C20" s="19"/>
      <c r="D20" s="19"/>
      <c r="E20" s="10">
        <f t="shared" si="0"/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8" t="s">
        <v>23</v>
      </c>
      <c r="B21" s="9"/>
      <c r="C21" s="8">
        <f>SUM(C22:C28)</f>
        <v>1794</v>
      </c>
      <c r="D21" s="8"/>
      <c r="E21" s="10">
        <f t="shared" si="0"/>
        <v>1794</v>
      </c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28" t="s">
        <v>24</v>
      </c>
      <c r="B22" s="14">
        <f>808+803+798+845</f>
        <v>3254</v>
      </c>
      <c r="C22" s="29">
        <f>198+176+197+171</f>
        <v>742</v>
      </c>
      <c r="D22" s="29">
        <f>110+90+85+79</f>
        <v>364</v>
      </c>
      <c r="E22" s="10">
        <f t="shared" si="0"/>
        <v>3632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8" t="s">
        <v>25</v>
      </c>
      <c r="B23" s="14"/>
      <c r="C23" s="29"/>
      <c r="D23" s="29"/>
      <c r="E23" s="10">
        <f t="shared" si="0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8" t="s">
        <v>26</v>
      </c>
      <c r="B24" s="14">
        <f>21+30+11</f>
        <v>62</v>
      </c>
      <c r="C24" s="29">
        <f>25+28</f>
        <v>53</v>
      </c>
      <c r="D24" s="29">
        <f>15+27</f>
        <v>42</v>
      </c>
      <c r="E24" s="10">
        <f t="shared" si="0"/>
        <v>73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8" t="s">
        <v>27</v>
      </c>
      <c r="B25" s="14"/>
      <c r="C25" s="30"/>
      <c r="D25" s="29">
        <f>4+13</f>
        <v>17</v>
      </c>
      <c r="E25" s="10">
        <f t="shared" si="0"/>
        <v>-17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8" t="s">
        <v>28</v>
      </c>
      <c r="B26" s="14"/>
      <c r="C26" s="30"/>
      <c r="D26" s="29">
        <f>11+14</f>
        <v>25</v>
      </c>
      <c r="E26" s="10">
        <f t="shared" si="0"/>
        <v>-25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8" t="s">
        <v>29</v>
      </c>
      <c r="B27" s="14">
        <f>23+14+12+5+13</f>
        <v>67</v>
      </c>
      <c r="C27" s="29">
        <f>6+4+0+0</f>
        <v>10</v>
      </c>
      <c r="D27" s="29">
        <f>10+4+6+3</f>
        <v>23</v>
      </c>
      <c r="E27" s="10">
        <f t="shared" si="0"/>
        <v>54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8" t="s">
        <v>30</v>
      </c>
      <c r="B28" s="14">
        <f>201+229+283+247</f>
        <v>960</v>
      </c>
      <c r="C28" s="29">
        <f>222+263+283+221</f>
        <v>989</v>
      </c>
      <c r="D28" s="29">
        <f>136+162+250+237</f>
        <v>785</v>
      </c>
      <c r="E28" s="10">
        <f t="shared" si="0"/>
        <v>1164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31" t="s">
        <v>31</v>
      </c>
      <c r="B29" s="18"/>
      <c r="C29" s="15"/>
      <c r="D29" s="19"/>
      <c r="E29" s="10">
        <f t="shared" si="0"/>
        <v>0</v>
      </c>
      <c r="F29" s="26"/>
      <c r="G29" s="2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32" t="s">
        <v>32</v>
      </c>
      <c r="B30" s="9"/>
      <c r="C30" s="33"/>
      <c r="D30" s="33"/>
      <c r="E30" s="10">
        <f t="shared" si="0"/>
        <v>0</v>
      </c>
      <c r="F30" s="34"/>
      <c r="G30" s="3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32" t="s">
        <v>33</v>
      </c>
      <c r="B31" s="36"/>
      <c r="C31" s="37">
        <f>97+89+111+80</f>
        <v>377</v>
      </c>
      <c r="D31" s="37">
        <f>95+85+107+80</f>
        <v>367</v>
      </c>
      <c r="E31" s="10">
        <f t="shared" si="0"/>
        <v>10</v>
      </c>
      <c r="F31" s="26"/>
      <c r="G31" s="2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32" t="s">
        <v>34</v>
      </c>
      <c r="B32" s="36"/>
      <c r="C32" s="37"/>
      <c r="D32" s="38">
        <f>50+99+73+63</f>
        <v>285</v>
      </c>
      <c r="E32" s="10">
        <f t="shared" si="0"/>
        <v>-285</v>
      </c>
      <c r="F32" s="26"/>
      <c r="G32" s="2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8"/>
      <c r="B33" s="18"/>
      <c r="C33" s="18"/>
      <c r="D33" s="18"/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hãy tạo 1 biểu excel từ các thô</vt:lpstr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hc11</dc:creator>
  <cp:lastModifiedBy>hc43</cp:lastModifiedBy>
  <cp:lastPrinted>2026-09-03T09:54:19Z</cp:lastPrinted>
  <dcterms:created xsi:type="dcterms:W3CDTF">2025-10-19T08:31:30Z</dcterms:created>
  <dcterms:modified xsi:type="dcterms:W3CDTF">2026-09-04T07:40:45Z</dcterms:modified>
</cp:coreProperties>
</file>